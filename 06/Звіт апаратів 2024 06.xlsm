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20" yWindow="-180" windowWidth="13185" windowHeight="8445" tabRatio="684" firstSheet="1" activeTab="1"/>
  </bookViews>
  <sheets>
    <sheet name="ВВОД" sheetId="120" r:id="rId1"/>
    <sheet name="За день" sheetId="164" r:id="rId2"/>
    <sheet name="За день Intercity" sheetId="165" r:id="rId3"/>
    <sheet name="АП" sheetId="166" r:id="rId4"/>
    <sheet name="1" sheetId="51" r:id="rId5"/>
    <sheet name="2" sheetId="168" r:id="rId6"/>
    <sheet name="3" sheetId="169" r:id="rId7"/>
    <sheet name="4" sheetId="170" r:id="rId8"/>
    <sheet name="5" sheetId="171" r:id="rId9"/>
    <sheet name="6" sheetId="172" r:id="rId10"/>
    <sheet name="7" sheetId="173" r:id="rId11"/>
    <sheet name="8" sheetId="174" r:id="rId12"/>
    <sheet name="9" sheetId="175" r:id="rId13"/>
    <sheet name="10" sheetId="176" r:id="rId14"/>
    <sheet name="11" sheetId="177" r:id="rId15"/>
    <sheet name="12" sheetId="178" r:id="rId16"/>
    <sheet name="13" sheetId="179" r:id="rId17"/>
    <sheet name="14" sheetId="180" r:id="rId18"/>
    <sheet name="15" sheetId="181" r:id="rId19"/>
    <sheet name="16" sheetId="182" r:id="rId20"/>
    <sheet name="17" sheetId="183" r:id="rId21"/>
    <sheet name="18" sheetId="184" r:id="rId22"/>
    <sheet name="19" sheetId="185" r:id="rId23"/>
    <sheet name="20" sheetId="186" r:id="rId24"/>
    <sheet name="21" sheetId="187" r:id="rId25"/>
    <sheet name="22" sheetId="188" r:id="rId26"/>
    <sheet name="23" sheetId="189" r:id="rId27"/>
    <sheet name="24" sheetId="190" r:id="rId28"/>
    <sheet name="25" sheetId="191" r:id="rId29"/>
    <sheet name="26" sheetId="193" r:id="rId30"/>
    <sheet name="27" sheetId="194" r:id="rId31"/>
    <sheet name="28" sheetId="195" r:id="rId32"/>
    <sheet name="29" sheetId="196" r:id="rId33"/>
    <sheet name="30" sheetId="197" r:id="rId34"/>
    <sheet name="31" sheetId="198" r:id="rId35"/>
    <sheet name="Місяць" sheetId="88" r:id="rId36"/>
    <sheet name="Місяц" sheetId="200" r:id="rId37"/>
  </sheets>
  <functionGroups/>
  <definedNames>
    <definedName name="_xlnm._FilterDatabase" localSheetId="4" hidden="1">'1'!$A$7:$W$52</definedName>
    <definedName name="_xlnm._FilterDatabase" localSheetId="13" hidden="1">'10'!$A$7:$W$52</definedName>
    <definedName name="_xlnm._FilterDatabase" localSheetId="14" hidden="1">'11'!$A$7:$W$52</definedName>
    <definedName name="_xlnm._FilterDatabase" localSheetId="15" hidden="1">'12'!$A$7:$W$52</definedName>
    <definedName name="_xlnm._FilterDatabase" localSheetId="16" hidden="1">'13'!$A$7:$W$52</definedName>
    <definedName name="_xlnm._FilterDatabase" localSheetId="17" hidden="1">'14'!$A$7:$W$52</definedName>
    <definedName name="_xlnm._FilterDatabase" localSheetId="18" hidden="1">'15'!$A$7:$W$52</definedName>
    <definedName name="_xlnm._FilterDatabase" localSheetId="19" hidden="1">'16'!$A$7:$W$52</definedName>
    <definedName name="_xlnm._FilterDatabase" localSheetId="20" hidden="1">'17'!$A$7:$W$52</definedName>
    <definedName name="_xlnm._FilterDatabase" localSheetId="21" hidden="1">'18'!$A$7:$W$52</definedName>
    <definedName name="_xlnm._FilterDatabase" localSheetId="22" hidden="1">'19'!$A$7:$W$52</definedName>
    <definedName name="_xlnm._FilterDatabase" localSheetId="5" hidden="1">'2'!$A$7:$W$52</definedName>
    <definedName name="_xlnm._FilterDatabase" localSheetId="23" hidden="1">'20'!$A$7:$W$52</definedName>
    <definedName name="_xlnm._FilterDatabase" localSheetId="24" hidden="1">'21'!$A$7:$W$52</definedName>
    <definedName name="_xlnm._FilterDatabase" localSheetId="25" hidden="1">'22'!$A$7:$W$52</definedName>
    <definedName name="_xlnm._FilterDatabase" localSheetId="26" hidden="1">'23'!$A$7:$W$52</definedName>
    <definedName name="_xlnm._FilterDatabase" localSheetId="27" hidden="1">'24'!$A$7:$W$52</definedName>
    <definedName name="_xlnm._FilterDatabase" localSheetId="28" hidden="1">'25'!$A$7:$W$52</definedName>
    <definedName name="_xlnm._FilterDatabase" localSheetId="29" hidden="1">'26'!$A$7:$W$52</definedName>
    <definedName name="_xlnm._FilterDatabase" localSheetId="30" hidden="1">'27'!$A$7:$W$52</definedName>
    <definedName name="_xlnm._FilterDatabase" localSheetId="31" hidden="1">'28'!$A$7:$W$52</definedName>
    <definedName name="_xlnm._FilterDatabase" localSheetId="32" hidden="1">'29'!$A$7:$W$52</definedName>
    <definedName name="_xlnm._FilterDatabase" localSheetId="6" hidden="1">'3'!$A$7:$W$52</definedName>
    <definedName name="_xlnm._FilterDatabase" localSheetId="33" hidden="1">'30'!$A$7:$W$52</definedName>
    <definedName name="_xlnm._FilterDatabase" localSheetId="34" hidden="1">'31'!$A$7:$W$52</definedName>
    <definedName name="_xlnm._FilterDatabase" localSheetId="7" hidden="1">'4'!$A$7:$W$52</definedName>
    <definedName name="_xlnm._FilterDatabase" localSheetId="8" hidden="1">'5'!$A$7:$W$52</definedName>
    <definedName name="_xlnm._FilterDatabase" localSheetId="9" hidden="1">'6'!$A$7:$W$52</definedName>
    <definedName name="_xlnm._FilterDatabase" localSheetId="10" hidden="1">'7'!$A$7:$W$52</definedName>
    <definedName name="_xlnm._FilterDatabase" localSheetId="11" hidden="1">'8'!$A$7:$W$52</definedName>
    <definedName name="_xlnm._FilterDatabase" localSheetId="12" hidden="1">'9'!$A$7:$W$52</definedName>
    <definedName name="_xlnm._FilterDatabase" localSheetId="36" hidden="1">Місяц!$A$7:$M$52</definedName>
    <definedName name="_xlnm.Print_Area" localSheetId="4">'1'!$A$1:$AA$59</definedName>
    <definedName name="_xlnm.Print_Area" localSheetId="13">'10'!$A$1:$AA$59</definedName>
    <definedName name="_xlnm.Print_Area" localSheetId="14">'11'!$A$1:$AA$59</definedName>
    <definedName name="_xlnm.Print_Area" localSheetId="15">'12'!$A$1:$AA$59</definedName>
    <definedName name="_xlnm.Print_Area" localSheetId="16">'13'!$A$1:$AA$59</definedName>
    <definedName name="_xlnm.Print_Area" localSheetId="17">'14'!$A$1:$AA$59</definedName>
    <definedName name="_xlnm.Print_Area" localSheetId="18">'15'!$A$1:$AA$59</definedName>
    <definedName name="_xlnm.Print_Area" localSheetId="19">'16'!$A$1:$AA$59</definedName>
    <definedName name="_xlnm.Print_Area" localSheetId="20">'17'!$A$1:$AA$59</definedName>
    <definedName name="_xlnm.Print_Area" localSheetId="21">'18'!$A$1:$AA$59</definedName>
    <definedName name="_xlnm.Print_Area" localSheetId="22">'19'!$A$1:$AA$59</definedName>
    <definedName name="_xlnm.Print_Area" localSheetId="5">'2'!$A$1:$AA$59</definedName>
    <definedName name="_xlnm.Print_Area" localSheetId="23">'20'!$A$1:$AA$59</definedName>
    <definedName name="_xlnm.Print_Area" localSheetId="24">'21'!$A$1:$AA$59</definedName>
    <definedName name="_xlnm.Print_Area" localSheetId="25">'22'!$A$1:$AA$59</definedName>
    <definedName name="_xlnm.Print_Area" localSheetId="26">'23'!$A$1:$AA$59</definedName>
    <definedName name="_xlnm.Print_Area" localSheetId="27">'24'!$A$1:$AA$59</definedName>
    <definedName name="_xlnm.Print_Area" localSheetId="28">'25'!$A$1:$AA$59</definedName>
    <definedName name="_xlnm.Print_Area" localSheetId="29">'26'!$A$1:$AA$59</definedName>
    <definedName name="_xlnm.Print_Area" localSheetId="30">'27'!$A$1:$AA$59</definedName>
    <definedName name="_xlnm.Print_Area" localSheetId="31">'28'!$A$1:$AA$59</definedName>
    <definedName name="_xlnm.Print_Area" localSheetId="32">'29'!$A$1:$AA$59</definedName>
    <definedName name="_xlnm.Print_Area" localSheetId="6">'3'!$A$1:$AA$59</definedName>
    <definedName name="_xlnm.Print_Area" localSheetId="33">'30'!$A$1:$AA$59</definedName>
    <definedName name="_xlnm.Print_Area" localSheetId="34">'31'!$A$1:$AA$59</definedName>
    <definedName name="_xlnm.Print_Area" localSheetId="7">'4'!$A$1:$AA$59</definedName>
    <definedName name="_xlnm.Print_Area" localSheetId="8">'5'!$A$1:$AA$59</definedName>
    <definedName name="_xlnm.Print_Area" localSheetId="9">'6'!$A$1:$AA$59</definedName>
    <definedName name="_xlnm.Print_Area" localSheetId="10">'7'!$A$1:$AA$59</definedName>
    <definedName name="_xlnm.Print_Area" localSheetId="11">'8'!$A$1:$AA$59</definedName>
    <definedName name="_xlnm.Print_Area" localSheetId="12">'9'!$A$1:$AA$59</definedName>
    <definedName name="_xlnm.Print_Area" localSheetId="3">АП!#REF!</definedName>
    <definedName name="_xlnm.Print_Area" localSheetId="1">'За день'!$A$1:$AS$48</definedName>
    <definedName name="_xlnm.Print_Area" localSheetId="2">'За день Intercity'!$A$1:$AM$48</definedName>
    <definedName name="_xlnm.Print_Area" localSheetId="36">Місяц!$A$1:$Q$57</definedName>
    <definedName name="_xlnm.Print_Area" localSheetId="35">Місяць!$A$1:$U$41</definedName>
  </definedNames>
  <calcPr calcId="124519"/>
</workbook>
</file>

<file path=xl/calcChain.xml><?xml version="1.0" encoding="utf-8"?>
<calcChain xmlns="http://schemas.openxmlformats.org/spreadsheetml/2006/main">
  <c r="D41" i="166"/>
  <c r="A3" i="164"/>
  <c r="I1000" i="120"/>
  <c r="H1000"/>
  <c r="G1000"/>
  <c r="F1000"/>
  <c r="E1000"/>
  <c r="D1000"/>
  <c r="C1000"/>
  <c r="AL11" i="165" l="1"/>
  <c r="AL12"/>
  <c r="AL13"/>
  <c r="AL14"/>
  <c r="AL15"/>
  <c r="AL16"/>
  <c r="AL17"/>
  <c r="AL18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10" l="1"/>
  <c r="V9" i="200" l="1"/>
  <c r="E9" s="1"/>
  <c r="X9"/>
  <c r="G9" s="1"/>
  <c r="Y9"/>
  <c r="H9" s="1"/>
  <c r="Z9"/>
  <c r="I9" s="1"/>
  <c r="AA9"/>
  <c r="J9" s="1"/>
  <c r="AB9"/>
  <c r="K9" s="1"/>
  <c r="AC9"/>
  <c r="L9" s="1"/>
  <c r="V10"/>
  <c r="E10" s="1"/>
  <c r="X10"/>
  <c r="G10" s="1"/>
  <c r="Y10"/>
  <c r="H10" s="1"/>
  <c r="Z10"/>
  <c r="I10" s="1"/>
  <c r="AA10"/>
  <c r="J10" s="1"/>
  <c r="AB10"/>
  <c r="K10" s="1"/>
  <c r="AC10"/>
  <c r="L10" s="1"/>
  <c r="V11"/>
  <c r="E11" s="1"/>
  <c r="X11"/>
  <c r="G11" s="1"/>
  <c r="Y11"/>
  <c r="H11" s="1"/>
  <c r="Z11"/>
  <c r="I11" s="1"/>
  <c r="AA11"/>
  <c r="J11" s="1"/>
  <c r="AB11"/>
  <c r="K11" s="1"/>
  <c r="AC11"/>
  <c r="L11" s="1"/>
  <c r="V12"/>
  <c r="E12" s="1"/>
  <c r="X12"/>
  <c r="G12" s="1"/>
  <c r="Y12"/>
  <c r="H12" s="1"/>
  <c r="Z12"/>
  <c r="I12" s="1"/>
  <c r="AA12"/>
  <c r="J12" s="1"/>
  <c r="AB12"/>
  <c r="K12" s="1"/>
  <c r="AC12"/>
  <c r="L12" s="1"/>
  <c r="V13"/>
  <c r="E13" s="1"/>
  <c r="X13"/>
  <c r="G13" s="1"/>
  <c r="Y13"/>
  <c r="H13" s="1"/>
  <c r="Z13"/>
  <c r="I13" s="1"/>
  <c r="AA13"/>
  <c r="J13" s="1"/>
  <c r="AB13"/>
  <c r="K13" s="1"/>
  <c r="AC13"/>
  <c r="L13" s="1"/>
  <c r="V14"/>
  <c r="E14" s="1"/>
  <c r="X14"/>
  <c r="G14" s="1"/>
  <c r="Y14"/>
  <c r="H14" s="1"/>
  <c r="Z14"/>
  <c r="I14" s="1"/>
  <c r="AA14"/>
  <c r="J14" s="1"/>
  <c r="AB14"/>
  <c r="K14" s="1"/>
  <c r="AC14"/>
  <c r="L14" s="1"/>
  <c r="V15"/>
  <c r="E15" s="1"/>
  <c r="X15"/>
  <c r="G15" s="1"/>
  <c r="Y15"/>
  <c r="H15" s="1"/>
  <c r="Z15"/>
  <c r="I15" s="1"/>
  <c r="AA15"/>
  <c r="J15" s="1"/>
  <c r="AB15"/>
  <c r="K15" s="1"/>
  <c r="AC15"/>
  <c r="L15" s="1"/>
  <c r="U16"/>
  <c r="D16" s="1"/>
  <c r="V16"/>
  <c r="E16" s="1"/>
  <c r="W16"/>
  <c r="F16" s="1"/>
  <c r="X16"/>
  <c r="G16" s="1"/>
  <c r="Y16"/>
  <c r="H16" s="1"/>
  <c r="Z16"/>
  <c r="I16" s="1"/>
  <c r="AA16"/>
  <c r="J16" s="1"/>
  <c r="AB16"/>
  <c r="K16" s="1"/>
  <c r="AC16"/>
  <c r="L16" s="1"/>
  <c r="U17"/>
  <c r="D17" s="1"/>
  <c r="V17"/>
  <c r="E17" s="1"/>
  <c r="W17"/>
  <c r="F17" s="1"/>
  <c r="X17"/>
  <c r="G17" s="1"/>
  <c r="Y17"/>
  <c r="H17" s="1"/>
  <c r="Z17"/>
  <c r="I17" s="1"/>
  <c r="AA17"/>
  <c r="J17" s="1"/>
  <c r="AB17"/>
  <c r="K17" s="1"/>
  <c r="AC17"/>
  <c r="L17" s="1"/>
  <c r="U18"/>
  <c r="D18" s="1"/>
  <c r="V18"/>
  <c r="E18" s="1"/>
  <c r="W18"/>
  <c r="F18" s="1"/>
  <c r="X18"/>
  <c r="G18" s="1"/>
  <c r="Y18"/>
  <c r="H18" s="1"/>
  <c r="Z18"/>
  <c r="I18" s="1"/>
  <c r="AA18"/>
  <c r="J18" s="1"/>
  <c r="AB18"/>
  <c r="K18" s="1"/>
  <c r="AC18"/>
  <c r="L18" s="1"/>
  <c r="U19"/>
  <c r="D19" s="1"/>
  <c r="V19"/>
  <c r="E19" s="1"/>
  <c r="W19"/>
  <c r="F19" s="1"/>
  <c r="X19"/>
  <c r="G19" s="1"/>
  <c r="Y19"/>
  <c r="H19" s="1"/>
  <c r="Z19"/>
  <c r="I19" s="1"/>
  <c r="AA19"/>
  <c r="J19" s="1"/>
  <c r="AB19"/>
  <c r="K19" s="1"/>
  <c r="AC19"/>
  <c r="L19" s="1"/>
  <c r="U20"/>
  <c r="D20" s="1"/>
  <c r="V20"/>
  <c r="E20" s="1"/>
  <c r="W20"/>
  <c r="F20" s="1"/>
  <c r="X20"/>
  <c r="G20" s="1"/>
  <c r="Y20"/>
  <c r="H20" s="1"/>
  <c r="Z20"/>
  <c r="I20" s="1"/>
  <c r="AA20"/>
  <c r="J20" s="1"/>
  <c r="AB20"/>
  <c r="K20" s="1"/>
  <c r="AC20"/>
  <c r="L20" s="1"/>
  <c r="U21"/>
  <c r="D21" s="1"/>
  <c r="V21"/>
  <c r="E21" s="1"/>
  <c r="W21"/>
  <c r="F21" s="1"/>
  <c r="X21"/>
  <c r="G21" s="1"/>
  <c r="Y21"/>
  <c r="H21" s="1"/>
  <c r="Z21"/>
  <c r="I21" s="1"/>
  <c r="AA21"/>
  <c r="J21" s="1"/>
  <c r="AB21"/>
  <c r="K21" s="1"/>
  <c r="AC21"/>
  <c r="L21" s="1"/>
  <c r="U22"/>
  <c r="D22" s="1"/>
  <c r="V22"/>
  <c r="E22" s="1"/>
  <c r="W22"/>
  <c r="F22" s="1"/>
  <c r="X22"/>
  <c r="G22" s="1"/>
  <c r="Y22"/>
  <c r="H22" s="1"/>
  <c r="Z22"/>
  <c r="I22" s="1"/>
  <c r="AA22"/>
  <c r="J22" s="1"/>
  <c r="AB22"/>
  <c r="K22" s="1"/>
  <c r="AC22"/>
  <c r="L22" s="1"/>
  <c r="U23"/>
  <c r="D23" s="1"/>
  <c r="V23"/>
  <c r="E23" s="1"/>
  <c r="W23"/>
  <c r="F23" s="1"/>
  <c r="X23"/>
  <c r="G23" s="1"/>
  <c r="Y23"/>
  <c r="H23" s="1"/>
  <c r="Z23"/>
  <c r="I23" s="1"/>
  <c r="AA23"/>
  <c r="J23" s="1"/>
  <c r="AB23"/>
  <c r="K23" s="1"/>
  <c r="AC23"/>
  <c r="L23" s="1"/>
  <c r="U24"/>
  <c r="D24" s="1"/>
  <c r="V24"/>
  <c r="E24" s="1"/>
  <c r="W24"/>
  <c r="F24" s="1"/>
  <c r="X24"/>
  <c r="G24" s="1"/>
  <c r="Y24"/>
  <c r="H24" s="1"/>
  <c r="Z24"/>
  <c r="I24" s="1"/>
  <c r="AA24"/>
  <c r="J24" s="1"/>
  <c r="AB24"/>
  <c r="K24" s="1"/>
  <c r="AC24"/>
  <c r="L24" s="1"/>
  <c r="U25"/>
  <c r="D25" s="1"/>
  <c r="V25"/>
  <c r="E25" s="1"/>
  <c r="W25"/>
  <c r="F25" s="1"/>
  <c r="X25"/>
  <c r="G25" s="1"/>
  <c r="Y25"/>
  <c r="H25" s="1"/>
  <c r="Z25"/>
  <c r="I25" s="1"/>
  <c r="AA25"/>
  <c r="J25" s="1"/>
  <c r="AB25"/>
  <c r="K25" s="1"/>
  <c r="AC25"/>
  <c r="L25" s="1"/>
  <c r="U26"/>
  <c r="D26" s="1"/>
  <c r="V26"/>
  <c r="E26" s="1"/>
  <c r="W26"/>
  <c r="F26" s="1"/>
  <c r="X26"/>
  <c r="G26" s="1"/>
  <c r="Y26"/>
  <c r="H26" s="1"/>
  <c r="Z26"/>
  <c r="I26" s="1"/>
  <c r="AA26"/>
  <c r="J26" s="1"/>
  <c r="AB26"/>
  <c r="K26" s="1"/>
  <c r="AC26"/>
  <c r="L26" s="1"/>
  <c r="U27"/>
  <c r="D27" s="1"/>
  <c r="V27"/>
  <c r="E27" s="1"/>
  <c r="W27"/>
  <c r="F27" s="1"/>
  <c r="X27"/>
  <c r="G27" s="1"/>
  <c r="Y27"/>
  <c r="H27" s="1"/>
  <c r="Z27"/>
  <c r="I27" s="1"/>
  <c r="AA27"/>
  <c r="J27" s="1"/>
  <c r="AB27"/>
  <c r="K27" s="1"/>
  <c r="AC27"/>
  <c r="L27" s="1"/>
  <c r="U28"/>
  <c r="D28" s="1"/>
  <c r="V28"/>
  <c r="E28" s="1"/>
  <c r="X28"/>
  <c r="G28" s="1"/>
  <c r="Y28"/>
  <c r="H28" s="1"/>
  <c r="Z28"/>
  <c r="I28" s="1"/>
  <c r="AA28"/>
  <c r="J28" s="1"/>
  <c r="AB28"/>
  <c r="K28" s="1"/>
  <c r="AC28"/>
  <c r="L28" s="1"/>
  <c r="U29"/>
  <c r="D29" s="1"/>
  <c r="V29"/>
  <c r="E29" s="1"/>
  <c r="W29"/>
  <c r="F29" s="1"/>
  <c r="X29"/>
  <c r="G29" s="1"/>
  <c r="Y29"/>
  <c r="H29" s="1"/>
  <c r="Z29"/>
  <c r="I29" s="1"/>
  <c r="AA29"/>
  <c r="J29" s="1"/>
  <c r="AB29"/>
  <c r="K29" s="1"/>
  <c r="AC29"/>
  <c r="L29" s="1"/>
  <c r="U30"/>
  <c r="D30" s="1"/>
  <c r="V30"/>
  <c r="E30" s="1"/>
  <c r="W30"/>
  <c r="F30" s="1"/>
  <c r="X30"/>
  <c r="G30" s="1"/>
  <c r="Y30"/>
  <c r="H30" s="1"/>
  <c r="Z30"/>
  <c r="I30" s="1"/>
  <c r="AA30"/>
  <c r="J30" s="1"/>
  <c r="AB30"/>
  <c r="K30" s="1"/>
  <c r="AC30"/>
  <c r="L30" s="1"/>
  <c r="U31"/>
  <c r="D31" s="1"/>
  <c r="V31"/>
  <c r="E31" s="1"/>
  <c r="W31"/>
  <c r="F31" s="1"/>
  <c r="X31"/>
  <c r="G31" s="1"/>
  <c r="Y31"/>
  <c r="H31" s="1"/>
  <c r="Z31"/>
  <c r="I31" s="1"/>
  <c r="AA31"/>
  <c r="J31" s="1"/>
  <c r="AB31"/>
  <c r="K31" s="1"/>
  <c r="AC31"/>
  <c r="L31" s="1"/>
  <c r="U32"/>
  <c r="D32" s="1"/>
  <c r="V32"/>
  <c r="E32" s="1"/>
  <c r="W32"/>
  <c r="F32" s="1"/>
  <c r="X32"/>
  <c r="G32" s="1"/>
  <c r="Y32"/>
  <c r="H32" s="1"/>
  <c r="Z32"/>
  <c r="I32" s="1"/>
  <c r="AA32"/>
  <c r="J32" s="1"/>
  <c r="AB32"/>
  <c r="K32" s="1"/>
  <c r="AC32"/>
  <c r="L32" s="1"/>
  <c r="U33"/>
  <c r="D33" s="1"/>
  <c r="V33"/>
  <c r="E33" s="1"/>
  <c r="W33"/>
  <c r="F33" s="1"/>
  <c r="X33"/>
  <c r="G33" s="1"/>
  <c r="Y33"/>
  <c r="H33" s="1"/>
  <c r="Z33"/>
  <c r="I33" s="1"/>
  <c r="AA33"/>
  <c r="J33" s="1"/>
  <c r="AB33"/>
  <c r="K33" s="1"/>
  <c r="AC33"/>
  <c r="L33" s="1"/>
  <c r="U34"/>
  <c r="D34" s="1"/>
  <c r="V34"/>
  <c r="E34" s="1"/>
  <c r="W34"/>
  <c r="F34" s="1"/>
  <c r="X34"/>
  <c r="G34" s="1"/>
  <c r="Y34"/>
  <c r="H34" s="1"/>
  <c r="Z34"/>
  <c r="I34" s="1"/>
  <c r="AA34"/>
  <c r="J34" s="1"/>
  <c r="AB34"/>
  <c r="K34" s="1"/>
  <c r="AC34"/>
  <c r="L34" s="1"/>
  <c r="U35"/>
  <c r="D35" s="1"/>
  <c r="V35"/>
  <c r="E35" s="1"/>
  <c r="W35"/>
  <c r="F35" s="1"/>
  <c r="X35"/>
  <c r="G35" s="1"/>
  <c r="Y35"/>
  <c r="H35" s="1"/>
  <c r="Z35"/>
  <c r="I35" s="1"/>
  <c r="AA35"/>
  <c r="J35" s="1"/>
  <c r="AB35"/>
  <c r="K35" s="1"/>
  <c r="AC35"/>
  <c r="L35" s="1"/>
  <c r="U36"/>
  <c r="D36" s="1"/>
  <c r="V36"/>
  <c r="E36" s="1"/>
  <c r="W36"/>
  <c r="F36" s="1"/>
  <c r="X36"/>
  <c r="G36" s="1"/>
  <c r="Y36"/>
  <c r="H36" s="1"/>
  <c r="Z36"/>
  <c r="I36" s="1"/>
  <c r="AA36"/>
  <c r="J36" s="1"/>
  <c r="AB36"/>
  <c r="K36" s="1"/>
  <c r="AC36"/>
  <c r="L36" s="1"/>
  <c r="U37"/>
  <c r="D37" s="1"/>
  <c r="V37"/>
  <c r="E37" s="1"/>
  <c r="W37"/>
  <c r="F37" s="1"/>
  <c r="X37"/>
  <c r="G37" s="1"/>
  <c r="Y37"/>
  <c r="H37" s="1"/>
  <c r="Z37"/>
  <c r="I37" s="1"/>
  <c r="AA37"/>
  <c r="J37" s="1"/>
  <c r="AB37"/>
  <c r="K37" s="1"/>
  <c r="AC37"/>
  <c r="L37" s="1"/>
  <c r="U38"/>
  <c r="D38" s="1"/>
  <c r="V38"/>
  <c r="E38" s="1"/>
  <c r="W38"/>
  <c r="F38" s="1"/>
  <c r="X38"/>
  <c r="G38" s="1"/>
  <c r="Y38"/>
  <c r="H38" s="1"/>
  <c r="Z38"/>
  <c r="I38" s="1"/>
  <c r="AA38"/>
  <c r="J38" s="1"/>
  <c r="AB38"/>
  <c r="K38" s="1"/>
  <c r="AC38"/>
  <c r="L38" s="1"/>
  <c r="U39"/>
  <c r="D39" s="1"/>
  <c r="V39"/>
  <c r="E39" s="1"/>
  <c r="W39"/>
  <c r="F39" s="1"/>
  <c r="X39"/>
  <c r="G39" s="1"/>
  <c r="Y39"/>
  <c r="H39" s="1"/>
  <c r="Z39"/>
  <c r="I39" s="1"/>
  <c r="AA39"/>
  <c r="J39" s="1"/>
  <c r="AB39"/>
  <c r="K39" s="1"/>
  <c r="AC39"/>
  <c r="L39" s="1"/>
  <c r="U40"/>
  <c r="D40" s="1"/>
  <c r="V40"/>
  <c r="E40" s="1"/>
  <c r="W40"/>
  <c r="F40" s="1"/>
  <c r="X40"/>
  <c r="G40" s="1"/>
  <c r="Y40"/>
  <c r="H40" s="1"/>
  <c r="Z40"/>
  <c r="I40" s="1"/>
  <c r="AA40"/>
  <c r="J40" s="1"/>
  <c r="AB40"/>
  <c r="K40" s="1"/>
  <c r="AC40"/>
  <c r="L40" s="1"/>
  <c r="U41"/>
  <c r="D41" s="1"/>
  <c r="V41"/>
  <c r="E41" s="1"/>
  <c r="W41"/>
  <c r="F41" s="1"/>
  <c r="X41"/>
  <c r="G41" s="1"/>
  <c r="Y41"/>
  <c r="H41" s="1"/>
  <c r="Z41"/>
  <c r="I41" s="1"/>
  <c r="AA41"/>
  <c r="J41" s="1"/>
  <c r="AB41"/>
  <c r="K41" s="1"/>
  <c r="AC41"/>
  <c r="L41" s="1"/>
  <c r="U42"/>
  <c r="D42" s="1"/>
  <c r="V42"/>
  <c r="E42" s="1"/>
  <c r="W42"/>
  <c r="F42" s="1"/>
  <c r="X42"/>
  <c r="G42" s="1"/>
  <c r="Y42"/>
  <c r="H42" s="1"/>
  <c r="Z42"/>
  <c r="I42" s="1"/>
  <c r="AA42"/>
  <c r="J42" s="1"/>
  <c r="AB42"/>
  <c r="K42" s="1"/>
  <c r="AC42"/>
  <c r="L42" s="1"/>
  <c r="U43"/>
  <c r="D43" s="1"/>
  <c r="V43"/>
  <c r="E43" s="1"/>
  <c r="W43"/>
  <c r="F43" s="1"/>
  <c r="X43"/>
  <c r="G43" s="1"/>
  <c r="Y43"/>
  <c r="H43" s="1"/>
  <c r="Z43"/>
  <c r="I43" s="1"/>
  <c r="AA43"/>
  <c r="J43" s="1"/>
  <c r="AB43"/>
  <c r="K43" s="1"/>
  <c r="AC43"/>
  <c r="L43" s="1"/>
  <c r="U44"/>
  <c r="D44" s="1"/>
  <c r="V44"/>
  <c r="E44" s="1"/>
  <c r="W44"/>
  <c r="F44" s="1"/>
  <c r="X44"/>
  <c r="G44" s="1"/>
  <c r="Y44"/>
  <c r="H44" s="1"/>
  <c r="Z44"/>
  <c r="I44" s="1"/>
  <c r="AA44"/>
  <c r="J44" s="1"/>
  <c r="AB44"/>
  <c r="K44" s="1"/>
  <c r="AC44"/>
  <c r="L44" s="1"/>
  <c r="U45"/>
  <c r="D45" s="1"/>
  <c r="V45"/>
  <c r="E45" s="1"/>
  <c r="W45"/>
  <c r="F45" s="1"/>
  <c r="X45"/>
  <c r="G45" s="1"/>
  <c r="Y45"/>
  <c r="H45" s="1"/>
  <c r="Z45"/>
  <c r="I45" s="1"/>
  <c r="AA45"/>
  <c r="J45" s="1"/>
  <c r="AB45"/>
  <c r="K45" s="1"/>
  <c r="AC45"/>
  <c r="L45" s="1"/>
  <c r="U46"/>
  <c r="D46" s="1"/>
  <c r="V46"/>
  <c r="E46" s="1"/>
  <c r="W46"/>
  <c r="F46" s="1"/>
  <c r="X46"/>
  <c r="G46" s="1"/>
  <c r="Y46"/>
  <c r="H46" s="1"/>
  <c r="Z46"/>
  <c r="I46" s="1"/>
  <c r="AA46"/>
  <c r="J46" s="1"/>
  <c r="AB46"/>
  <c r="K46" s="1"/>
  <c r="AC46"/>
  <c r="L46" s="1"/>
  <c r="U47"/>
  <c r="D47" s="1"/>
  <c r="V47"/>
  <c r="E47" s="1"/>
  <c r="W47"/>
  <c r="F47" s="1"/>
  <c r="X47"/>
  <c r="G47" s="1"/>
  <c r="Y47"/>
  <c r="H47" s="1"/>
  <c r="Z47"/>
  <c r="I47" s="1"/>
  <c r="AA47"/>
  <c r="J47" s="1"/>
  <c r="AB47"/>
  <c r="K47" s="1"/>
  <c r="AC47"/>
  <c r="L47" s="1"/>
  <c r="V8"/>
  <c r="E8" s="1"/>
  <c r="X8"/>
  <c r="G8" s="1"/>
  <c r="Y8"/>
  <c r="H8" s="1"/>
  <c r="Z8"/>
  <c r="I8" s="1"/>
  <c r="AA8"/>
  <c r="J8" s="1"/>
  <c r="AB8"/>
  <c r="K8" s="1"/>
  <c r="AC8"/>
  <c r="L8" s="1"/>
  <c r="C47"/>
  <c r="B47"/>
  <c r="C46"/>
  <c r="B46"/>
  <c r="C45"/>
  <c r="B45"/>
  <c r="C44"/>
  <c r="B44"/>
  <c r="C43"/>
  <c r="B43"/>
  <c r="C42"/>
  <c r="B42"/>
  <c r="C41"/>
  <c r="B41"/>
  <c r="C40"/>
  <c r="B40"/>
  <c r="C39"/>
  <c r="B39"/>
  <c r="C38"/>
  <c r="B38"/>
  <c r="C37"/>
  <c r="B37"/>
  <c r="C36"/>
  <c r="B36"/>
  <c r="C35"/>
  <c r="B35"/>
  <c r="C34"/>
  <c r="B34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O48" i="198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7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6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5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4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3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90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9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8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7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6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5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4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3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2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80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9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8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7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6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5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4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3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2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1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70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69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O48" i="168" l="1"/>
  <c r="N48"/>
  <c r="M48"/>
  <c r="L48"/>
  <c r="K48"/>
  <c r="J48"/>
  <c r="H48"/>
  <c r="V47"/>
  <c r="S47"/>
  <c r="C47"/>
  <c r="B47"/>
  <c r="V46"/>
  <c r="S46"/>
  <c r="C46"/>
  <c r="B46"/>
  <c r="V45"/>
  <c r="S45"/>
  <c r="C45"/>
  <c r="B45"/>
  <c r="V44"/>
  <c r="S44"/>
  <c r="C44"/>
  <c r="B44"/>
  <c r="V43"/>
  <c r="S43"/>
  <c r="C43"/>
  <c r="B43"/>
  <c r="V42"/>
  <c r="S42"/>
  <c r="C42"/>
  <c r="B42"/>
  <c r="V41"/>
  <c r="S41"/>
  <c r="C41"/>
  <c r="B41"/>
  <c r="V40"/>
  <c r="S40"/>
  <c r="C40"/>
  <c r="B40"/>
  <c r="V39"/>
  <c r="S39"/>
  <c r="C39"/>
  <c r="B39"/>
  <c r="V38"/>
  <c r="S38"/>
  <c r="C38"/>
  <c r="B38"/>
  <c r="V37"/>
  <c r="S37"/>
  <c r="C37"/>
  <c r="B37"/>
  <c r="V36"/>
  <c r="S36"/>
  <c r="C36"/>
  <c r="B36"/>
  <c r="V35"/>
  <c r="S35"/>
  <c r="C35"/>
  <c r="B35"/>
  <c r="V34"/>
  <c r="S34"/>
  <c r="C34"/>
  <c r="B34"/>
  <c r="V33"/>
  <c r="S33"/>
  <c r="C33"/>
  <c r="B33"/>
  <c r="V32"/>
  <c r="S32"/>
  <c r="C32"/>
  <c r="B32"/>
  <c r="V31"/>
  <c r="S31"/>
  <c r="C31"/>
  <c r="B31"/>
  <c r="V30"/>
  <c r="S30"/>
  <c r="C30"/>
  <c r="B30"/>
  <c r="V29"/>
  <c r="S29"/>
  <c r="C29"/>
  <c r="B29"/>
  <c r="V28"/>
  <c r="S28"/>
  <c r="C28"/>
  <c r="B28"/>
  <c r="V27"/>
  <c r="S27"/>
  <c r="C27"/>
  <c r="B27"/>
  <c r="V26"/>
  <c r="S26"/>
  <c r="C26"/>
  <c r="B26"/>
  <c r="V25"/>
  <c r="S25"/>
  <c r="C25"/>
  <c r="B25"/>
  <c r="V24"/>
  <c r="S24"/>
  <c r="C24"/>
  <c r="B24"/>
  <c r="V23"/>
  <c r="S23"/>
  <c r="C23"/>
  <c r="B23"/>
  <c r="V22"/>
  <c r="S22"/>
  <c r="C22"/>
  <c r="B22"/>
  <c r="V21"/>
  <c r="S21"/>
  <c r="C21"/>
  <c r="B21"/>
  <c r="V20"/>
  <c r="S20"/>
  <c r="C20"/>
  <c r="B20"/>
  <c r="V19"/>
  <c r="S19"/>
  <c r="C19"/>
  <c r="B19"/>
  <c r="V18"/>
  <c r="S18"/>
  <c r="C18"/>
  <c r="B18"/>
  <c r="V17"/>
  <c r="S17"/>
  <c r="C17"/>
  <c r="B17"/>
  <c r="V16"/>
  <c r="S16"/>
  <c r="C16"/>
  <c r="B16"/>
  <c r="V15"/>
  <c r="S15"/>
  <c r="C15"/>
  <c r="B15"/>
  <c r="V14"/>
  <c r="S14"/>
  <c r="C14"/>
  <c r="B14"/>
  <c r="V13"/>
  <c r="S13"/>
  <c r="C13"/>
  <c r="B13"/>
  <c r="V12"/>
  <c r="S12"/>
  <c r="C12"/>
  <c r="B12"/>
  <c r="V11"/>
  <c r="S11"/>
  <c r="C11"/>
  <c r="B11"/>
  <c r="V10"/>
  <c r="S10"/>
  <c r="C10"/>
  <c r="B10"/>
  <c r="V9"/>
  <c r="S9"/>
  <c r="C9"/>
  <c r="B9"/>
  <c r="V8"/>
  <c r="S8"/>
  <c r="C8"/>
  <c r="B8"/>
  <c r="S34" i="51" l="1"/>
  <c r="V34"/>
  <c r="S35"/>
  <c r="V35"/>
  <c r="S36"/>
  <c r="V36"/>
  <c r="S37"/>
  <c r="V37"/>
  <c r="S38"/>
  <c r="V38"/>
  <c r="S39"/>
  <c r="V39"/>
  <c r="S40"/>
  <c r="V40"/>
  <c r="S41"/>
  <c r="V41"/>
  <c r="B9" l="1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C8"/>
  <c r="B8"/>
  <c r="S24"/>
  <c r="V24"/>
  <c r="S25"/>
  <c r="V25"/>
  <c r="S26"/>
  <c r="V26"/>
  <c r="S27"/>
  <c r="V27"/>
  <c r="S28"/>
  <c r="V28"/>
  <c r="S29"/>
  <c r="V29"/>
  <c r="S30"/>
  <c r="V30"/>
  <c r="S31"/>
  <c r="V31"/>
  <c r="S32"/>
  <c r="V32"/>
  <c r="S33"/>
  <c r="V33"/>
  <c r="S42"/>
  <c r="V42"/>
  <c r="A3" l="1"/>
  <c r="W34"/>
  <c r="W12"/>
  <c r="W21"/>
  <c r="W17"/>
  <c r="W19"/>
  <c r="W10"/>
  <c r="W30"/>
  <c r="W9"/>
  <c r="W46"/>
  <c r="W24"/>
  <c r="W38"/>
  <c r="W40"/>
  <c r="W25"/>
  <c r="W13"/>
  <c r="W45"/>
  <c r="W15"/>
  <c r="W14"/>
  <c r="W16"/>
  <c r="W8"/>
  <c r="W35"/>
  <c r="W22"/>
  <c r="W11"/>
  <c r="W31"/>
  <c r="W23"/>
  <c r="W36"/>
  <c r="W29"/>
  <c r="W26"/>
  <c r="W20"/>
  <c r="W27"/>
  <c r="W44"/>
  <c r="W28"/>
  <c r="W41"/>
  <c r="W43"/>
  <c r="W18"/>
  <c r="W32"/>
  <c r="W42"/>
  <c r="W39"/>
  <c r="W33"/>
  <c r="W47"/>
  <c r="W37"/>
  <c r="P8" l="1"/>
  <c r="F8" s="1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A3" i="200"/>
  <c r="E41" i="166"/>
  <c r="A3" i="168" s="1"/>
  <c r="W27"/>
  <c r="W23"/>
  <c r="W45"/>
  <c r="W37"/>
  <c r="W8"/>
  <c r="W47"/>
  <c r="W11"/>
  <c r="W26"/>
  <c r="W28"/>
  <c r="W38"/>
  <c r="W15"/>
  <c r="W29"/>
  <c r="W46"/>
  <c r="W32"/>
  <c r="W42"/>
  <c r="W9"/>
  <c r="W17"/>
  <c r="W33"/>
  <c r="W43"/>
  <c r="W34"/>
  <c r="W14"/>
  <c r="W19"/>
  <c r="W36"/>
  <c r="W20"/>
  <c r="W22"/>
  <c r="W44"/>
  <c r="W25"/>
  <c r="W40"/>
  <c r="W18"/>
  <c r="W31"/>
  <c r="W12"/>
  <c r="W41"/>
  <c r="W39"/>
  <c r="W10"/>
  <c r="W24"/>
  <c r="W16"/>
  <c r="W13"/>
  <c r="W21"/>
  <c r="W30"/>
  <c r="W35"/>
  <c r="P8" l="1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G8" i="51"/>
  <c r="E8"/>
  <c r="F41" i="166"/>
  <c r="A3" i="169" s="1"/>
  <c r="C986" i="120"/>
  <c r="D986"/>
  <c r="E986"/>
  <c r="F986"/>
  <c r="G986"/>
  <c r="H986"/>
  <c r="I986"/>
  <c r="J986"/>
  <c r="K986"/>
  <c r="L986"/>
  <c r="M986"/>
  <c r="N986"/>
  <c r="C987"/>
  <c r="D987"/>
  <c r="E987"/>
  <c r="F987"/>
  <c r="G987"/>
  <c r="H987"/>
  <c r="I987"/>
  <c r="J987"/>
  <c r="K987"/>
  <c r="L987"/>
  <c r="M987"/>
  <c r="N987"/>
  <c r="C988"/>
  <c r="D988"/>
  <c r="E988"/>
  <c r="F988"/>
  <c r="G988"/>
  <c r="H988"/>
  <c r="I988"/>
  <c r="J988"/>
  <c r="K988"/>
  <c r="L988"/>
  <c r="M988"/>
  <c r="N988"/>
  <c r="C989"/>
  <c r="D989"/>
  <c r="E989"/>
  <c r="F989"/>
  <c r="G989"/>
  <c r="H989"/>
  <c r="I989"/>
  <c r="J989"/>
  <c r="K989"/>
  <c r="L989"/>
  <c r="M989"/>
  <c r="N989"/>
  <c r="C990"/>
  <c r="D990"/>
  <c r="E990"/>
  <c r="F990"/>
  <c r="G990"/>
  <c r="H990"/>
  <c r="I990"/>
  <c r="J990"/>
  <c r="K990"/>
  <c r="L990"/>
  <c r="M990"/>
  <c r="N990"/>
  <c r="C991"/>
  <c r="D991"/>
  <c r="E991"/>
  <c r="F991"/>
  <c r="G991"/>
  <c r="H991"/>
  <c r="I991"/>
  <c r="J991"/>
  <c r="K991"/>
  <c r="L991"/>
  <c r="M991"/>
  <c r="N991"/>
  <c r="C992"/>
  <c r="D992"/>
  <c r="E992"/>
  <c r="F992"/>
  <c r="G992"/>
  <c r="H992"/>
  <c r="I992"/>
  <c r="J992"/>
  <c r="K992"/>
  <c r="L992"/>
  <c r="M992"/>
  <c r="N992"/>
  <c r="C993"/>
  <c r="D993"/>
  <c r="E993"/>
  <c r="F993"/>
  <c r="G993"/>
  <c r="H993"/>
  <c r="I993"/>
  <c r="J993"/>
  <c r="K993"/>
  <c r="L993"/>
  <c r="M993"/>
  <c r="N993"/>
  <c r="C994"/>
  <c r="D994"/>
  <c r="E994"/>
  <c r="F994"/>
  <c r="G994"/>
  <c r="H994"/>
  <c r="I994"/>
  <c r="J994"/>
  <c r="K994"/>
  <c r="L994"/>
  <c r="M994"/>
  <c r="N994"/>
  <c r="C995"/>
  <c r="D995"/>
  <c r="E995"/>
  <c r="F995"/>
  <c r="G995"/>
  <c r="H995"/>
  <c r="I995"/>
  <c r="J995"/>
  <c r="K995"/>
  <c r="L995"/>
  <c r="M995"/>
  <c r="N995"/>
  <c r="C996"/>
  <c r="D996"/>
  <c r="E996"/>
  <c r="F996"/>
  <c r="G996"/>
  <c r="H996"/>
  <c r="I996"/>
  <c r="J996"/>
  <c r="K996"/>
  <c r="L996"/>
  <c r="M996"/>
  <c r="N996"/>
  <c r="C997"/>
  <c r="D997"/>
  <c r="E997"/>
  <c r="F997"/>
  <c r="G997"/>
  <c r="H997"/>
  <c r="I997"/>
  <c r="J997"/>
  <c r="K997"/>
  <c r="L997"/>
  <c r="M997"/>
  <c r="N997"/>
  <c r="D985"/>
  <c r="E985"/>
  <c r="F985"/>
  <c r="G985"/>
  <c r="H985"/>
  <c r="I985"/>
  <c r="J985"/>
  <c r="K985"/>
  <c r="L985"/>
  <c r="M985"/>
  <c r="N985"/>
  <c r="C985"/>
  <c r="W44" i="169"/>
  <c r="W34"/>
  <c r="W40"/>
  <c r="W26"/>
  <c r="W43"/>
  <c r="W24"/>
  <c r="W18"/>
  <c r="W28"/>
  <c r="W39"/>
  <c r="W12"/>
  <c r="W32"/>
  <c r="W37"/>
  <c r="W36"/>
  <c r="W22"/>
  <c r="W20"/>
  <c r="W33"/>
  <c r="W45"/>
  <c r="W16"/>
  <c r="W29"/>
  <c r="W8"/>
  <c r="W47"/>
  <c r="W35"/>
  <c r="W41"/>
  <c r="W27"/>
  <c r="W25"/>
  <c r="W42"/>
  <c r="W13"/>
  <c r="W23"/>
  <c r="W17"/>
  <c r="W11"/>
  <c r="W38"/>
  <c r="W9"/>
  <c r="W21"/>
  <c r="W10"/>
  <c r="W30"/>
  <c r="W46"/>
  <c r="W14"/>
  <c r="W19"/>
  <c r="W31"/>
  <c r="W15"/>
  <c r="E28" i="51" l="1"/>
  <c r="I28"/>
  <c r="P8" i="169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D28" i="168"/>
  <c r="I28"/>
  <c r="E28"/>
  <c r="I14"/>
  <c r="D14"/>
  <c r="E14"/>
  <c r="F14"/>
  <c r="G14"/>
  <c r="F12"/>
  <c r="G12"/>
  <c r="I12"/>
  <c r="D12"/>
  <c r="E12"/>
  <c r="F10"/>
  <c r="G10"/>
  <c r="I10"/>
  <c r="D10"/>
  <c r="E10"/>
  <c r="I8"/>
  <c r="D8"/>
  <c r="E8"/>
  <c r="F8"/>
  <c r="G8"/>
  <c r="F15"/>
  <c r="G15"/>
  <c r="I15"/>
  <c r="D15"/>
  <c r="E15"/>
  <c r="I13"/>
  <c r="D13"/>
  <c r="E13"/>
  <c r="F13"/>
  <c r="G13"/>
  <c r="F11"/>
  <c r="G11"/>
  <c r="I11"/>
  <c r="D11"/>
  <c r="E11"/>
  <c r="I9"/>
  <c r="D9"/>
  <c r="E9"/>
  <c r="F9"/>
  <c r="G9"/>
  <c r="G41" i="166"/>
  <c r="A3" i="170" s="1"/>
  <c r="W10"/>
  <c r="W32"/>
  <c r="W29"/>
  <c r="W25"/>
  <c r="W44"/>
  <c r="W15"/>
  <c r="W37"/>
  <c r="W28"/>
  <c r="W16"/>
  <c r="W30"/>
  <c r="W27"/>
  <c r="W41"/>
  <c r="W22"/>
  <c r="W33"/>
  <c r="W11"/>
  <c r="W24"/>
  <c r="W36"/>
  <c r="W26"/>
  <c r="W19"/>
  <c r="W38"/>
  <c r="W31"/>
  <c r="W21"/>
  <c r="W45"/>
  <c r="W14"/>
  <c r="W47"/>
  <c r="W20"/>
  <c r="W42"/>
  <c r="W13"/>
  <c r="W23"/>
  <c r="W17"/>
  <c r="W35"/>
  <c r="W8"/>
  <c r="W9"/>
  <c r="W39"/>
  <c r="W12"/>
  <c r="W43"/>
  <c r="W34"/>
  <c r="W40"/>
  <c r="W18"/>
  <c r="W46"/>
  <c r="P19" l="1"/>
  <c r="P8"/>
  <c r="P9"/>
  <c r="P10"/>
  <c r="P11"/>
  <c r="P12"/>
  <c r="P13"/>
  <c r="P14"/>
  <c r="P15"/>
  <c r="P16"/>
  <c r="P17"/>
  <c r="P18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G48" i="168"/>
  <c r="F14" i="169"/>
  <c r="G14"/>
  <c r="I14"/>
  <c r="D14"/>
  <c r="E14"/>
  <c r="I12"/>
  <c r="D12"/>
  <c r="E12"/>
  <c r="F12"/>
  <c r="G12"/>
  <c r="F10"/>
  <c r="G10"/>
  <c r="I10"/>
  <c r="D10"/>
  <c r="E10"/>
  <c r="I8"/>
  <c r="D8"/>
  <c r="E8"/>
  <c r="F8"/>
  <c r="G8"/>
  <c r="I48" i="168"/>
  <c r="L49"/>
  <c r="H49"/>
  <c r="M49"/>
  <c r="I49"/>
  <c r="N49"/>
  <c r="J49"/>
  <c r="O49"/>
  <c r="K49"/>
  <c r="G49"/>
  <c r="F15" i="169"/>
  <c r="G15"/>
  <c r="I15"/>
  <c r="D15"/>
  <c r="E15"/>
  <c r="I13"/>
  <c r="D13"/>
  <c r="E13"/>
  <c r="F13"/>
  <c r="G13"/>
  <c r="F11"/>
  <c r="G11"/>
  <c r="I11"/>
  <c r="D11"/>
  <c r="E11"/>
  <c r="I9"/>
  <c r="D9"/>
  <c r="E9"/>
  <c r="F9"/>
  <c r="G9"/>
  <c r="H41" i="166"/>
  <c r="I28" i="170" l="1"/>
  <c r="E28"/>
  <c r="D28"/>
  <c r="I15"/>
  <c r="D15"/>
  <c r="E15"/>
  <c r="F15"/>
  <c r="G15"/>
  <c r="F13"/>
  <c r="G13"/>
  <c r="I13"/>
  <c r="D13"/>
  <c r="E13"/>
  <c r="I11"/>
  <c r="D11"/>
  <c r="E11"/>
  <c r="F11"/>
  <c r="G11"/>
  <c r="F9"/>
  <c r="G9"/>
  <c r="D9"/>
  <c r="E9"/>
  <c r="I41" i="166"/>
  <c r="A3" i="171"/>
  <c r="G48" i="169"/>
  <c r="F14" i="170"/>
  <c r="G14"/>
  <c r="I14"/>
  <c r="D14"/>
  <c r="E14"/>
  <c r="I12"/>
  <c r="D12"/>
  <c r="E12"/>
  <c r="F12"/>
  <c r="G12"/>
  <c r="I10"/>
  <c r="D10"/>
  <c r="E10"/>
  <c r="F10"/>
  <c r="G10"/>
  <c r="F8"/>
  <c r="G8"/>
  <c r="I8"/>
  <c r="D8"/>
  <c r="E8"/>
  <c r="W16" i="171"/>
  <c r="W14"/>
  <c r="W31"/>
  <c r="W43"/>
  <c r="W21"/>
  <c r="W34"/>
  <c r="W37"/>
  <c r="W20"/>
  <c r="W30"/>
  <c r="W36"/>
  <c r="W29"/>
  <c r="W26"/>
  <c r="W46"/>
  <c r="W13"/>
  <c r="W27"/>
  <c r="W12"/>
  <c r="W18"/>
  <c r="W41"/>
  <c r="W22"/>
  <c r="W28"/>
  <c r="W19"/>
  <c r="W47"/>
  <c r="W44"/>
  <c r="W24"/>
  <c r="W8"/>
  <c r="W11"/>
  <c r="W32"/>
  <c r="W9"/>
  <c r="W15"/>
  <c r="W42"/>
  <c r="W10"/>
  <c r="W39"/>
  <c r="W45"/>
  <c r="W40"/>
  <c r="W23"/>
  <c r="W33"/>
  <c r="W25"/>
  <c r="W17"/>
  <c r="W38"/>
  <c r="W35"/>
  <c r="I48" i="170" l="1"/>
  <c r="A3" i="165"/>
  <c r="A10" i="164"/>
  <c r="P8" i="171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J41" i="166"/>
  <c r="A3" i="172"/>
  <c r="N49" i="170"/>
  <c r="J49"/>
  <c r="O49"/>
  <c r="K49"/>
  <c r="G49"/>
  <c r="L49"/>
  <c r="H49"/>
  <c r="M49"/>
  <c r="I49"/>
  <c r="G48"/>
  <c r="AB41" i="165"/>
  <c r="AA41"/>
  <c r="Z41"/>
  <c r="Y41"/>
  <c r="X41"/>
  <c r="K41"/>
  <c r="J41"/>
  <c r="AR41" i="164"/>
  <c r="AP41"/>
  <c r="AO41"/>
  <c r="AL41"/>
  <c r="AK41"/>
  <c r="AH41"/>
  <c r="AG41"/>
  <c r="AF41"/>
  <c r="AE41"/>
  <c r="AD41"/>
  <c r="K41"/>
  <c r="J41"/>
  <c r="W35" i="172"/>
  <c r="W47"/>
  <c r="W12"/>
  <c r="W42"/>
  <c r="W28"/>
  <c r="W19"/>
  <c r="W21"/>
  <c r="W37"/>
  <c r="W22"/>
  <c r="W36"/>
  <c r="W18"/>
  <c r="W45"/>
  <c r="W43"/>
  <c r="W23"/>
  <c r="W46"/>
  <c r="W17"/>
  <c r="W32"/>
  <c r="W27"/>
  <c r="W14"/>
  <c r="W40"/>
  <c r="W26"/>
  <c r="W44"/>
  <c r="W33"/>
  <c r="W13"/>
  <c r="W10"/>
  <c r="W39"/>
  <c r="W31"/>
  <c r="W38"/>
  <c r="W15"/>
  <c r="W9"/>
  <c r="W41"/>
  <c r="W34"/>
  <c r="W25"/>
  <c r="W11"/>
  <c r="W20"/>
  <c r="W29"/>
  <c r="W16"/>
  <c r="W8"/>
  <c r="W30"/>
  <c r="W24"/>
  <c r="N10" i="164"/>
  <c r="B10"/>
  <c r="O10"/>
  <c r="E10"/>
  <c r="D10"/>
  <c r="H10"/>
  <c r="T10"/>
  <c r="G10"/>
  <c r="C10"/>
  <c r="R10"/>
  <c r="S10"/>
  <c r="AQ10"/>
  <c r="AM10"/>
  <c r="Q10"/>
  <c r="P10"/>
  <c r="U10"/>
  <c r="AS10"/>
  <c r="F10"/>
  <c r="N10" i="165" l="1"/>
  <c r="A11" i="164"/>
  <c r="P8" i="172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K41" i="166"/>
  <c r="A3" i="173"/>
  <c r="I28" i="171"/>
  <c r="E28"/>
  <c r="D28"/>
  <c r="F14"/>
  <c r="G14"/>
  <c r="I14"/>
  <c r="D14"/>
  <c r="E14"/>
  <c r="I12"/>
  <c r="D12"/>
  <c r="E12"/>
  <c r="F12"/>
  <c r="G12"/>
  <c r="F10"/>
  <c r="G10"/>
  <c r="I10"/>
  <c r="D10"/>
  <c r="E10"/>
  <c r="I8"/>
  <c r="D8"/>
  <c r="E8"/>
  <c r="F8"/>
  <c r="G8"/>
  <c r="F15"/>
  <c r="G15"/>
  <c r="I15"/>
  <c r="D15"/>
  <c r="E15"/>
  <c r="I13"/>
  <c r="D13"/>
  <c r="E13"/>
  <c r="F13"/>
  <c r="G13"/>
  <c r="F11"/>
  <c r="G11"/>
  <c r="I11"/>
  <c r="D11"/>
  <c r="E11"/>
  <c r="D9"/>
  <c r="E9"/>
  <c r="F9"/>
  <c r="G41" i="165"/>
  <c r="AL41"/>
  <c r="W44" i="173"/>
  <c r="W16"/>
  <c r="W26"/>
  <c r="W22"/>
  <c r="W9"/>
  <c r="W24"/>
  <c r="W42"/>
  <c r="W46"/>
  <c r="W23"/>
  <c r="W21"/>
  <c r="W37"/>
  <c r="W11"/>
  <c r="W27"/>
  <c r="W35"/>
  <c r="W12"/>
  <c r="W41"/>
  <c r="W45"/>
  <c r="W40"/>
  <c r="W13"/>
  <c r="W17"/>
  <c r="W36"/>
  <c r="W10"/>
  <c r="W15"/>
  <c r="W19"/>
  <c r="W25"/>
  <c r="W33"/>
  <c r="W8"/>
  <c r="W14"/>
  <c r="W18"/>
  <c r="W20"/>
  <c r="W47"/>
  <c r="W32"/>
  <c r="W31"/>
  <c r="W34"/>
  <c r="W38"/>
  <c r="W43"/>
  <c r="W29"/>
  <c r="W39"/>
  <c r="W30"/>
  <c r="W28"/>
  <c r="Y11" i="164"/>
  <c r="N11"/>
  <c r="AC11"/>
  <c r="G11"/>
  <c r="AB11"/>
  <c r="H11"/>
  <c r="R11"/>
  <c r="AS11"/>
  <c r="W11"/>
  <c r="Z11"/>
  <c r="AA11"/>
  <c r="Q11"/>
  <c r="T11"/>
  <c r="D11"/>
  <c r="U11"/>
  <c r="O11"/>
  <c r="X11"/>
  <c r="S11"/>
  <c r="AN11"/>
  <c r="P11"/>
  <c r="C11"/>
  <c r="V11"/>
  <c r="E11"/>
  <c r="AI11"/>
  <c r="M11"/>
  <c r="B11"/>
  <c r="AJ11"/>
  <c r="F11"/>
  <c r="N11" i="165" l="1"/>
  <c r="A12" i="164"/>
  <c r="P8" i="173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G48" i="171"/>
  <c r="L41" i="166"/>
  <c r="A3" i="174"/>
  <c r="I28" i="172"/>
  <c r="E28"/>
  <c r="D28"/>
  <c r="F14"/>
  <c r="G14"/>
  <c r="I14"/>
  <c r="D14"/>
  <c r="E14"/>
  <c r="I12"/>
  <c r="D12"/>
  <c r="E12"/>
  <c r="F12"/>
  <c r="G12"/>
  <c r="F10"/>
  <c r="G10"/>
  <c r="I10"/>
  <c r="D10"/>
  <c r="E10"/>
  <c r="I8"/>
  <c r="D8"/>
  <c r="E8"/>
  <c r="F8"/>
  <c r="G8"/>
  <c r="I48" i="171"/>
  <c r="L49"/>
  <c r="H49"/>
  <c r="M49"/>
  <c r="I49"/>
  <c r="N49"/>
  <c r="J49"/>
  <c r="O49"/>
  <c r="K49"/>
  <c r="G49"/>
  <c r="E15" i="172"/>
  <c r="F15"/>
  <c r="G15"/>
  <c r="I15"/>
  <c r="D15"/>
  <c r="I13"/>
  <c r="D13"/>
  <c r="E13"/>
  <c r="F13"/>
  <c r="G13"/>
  <c r="F11"/>
  <c r="G11"/>
  <c r="I11"/>
  <c r="D11"/>
  <c r="E11"/>
  <c r="I9"/>
  <c r="D9"/>
  <c r="E9"/>
  <c r="F9"/>
  <c r="G9"/>
  <c r="E9" i="88"/>
  <c r="G9"/>
  <c r="H9"/>
  <c r="I9"/>
  <c r="E10"/>
  <c r="G10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D19"/>
  <c r="E19"/>
  <c r="F19"/>
  <c r="G19"/>
  <c r="H19"/>
  <c r="I19"/>
  <c r="D20"/>
  <c r="E20"/>
  <c r="F20"/>
  <c r="G20"/>
  <c r="H20"/>
  <c r="I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H24"/>
  <c r="I24"/>
  <c r="H25"/>
  <c r="I25"/>
  <c r="D26"/>
  <c r="E26"/>
  <c r="F26"/>
  <c r="G26"/>
  <c r="H26"/>
  <c r="I26"/>
  <c r="D27"/>
  <c r="E27"/>
  <c r="F27"/>
  <c r="G27"/>
  <c r="H27"/>
  <c r="I27"/>
  <c r="D28"/>
  <c r="E28"/>
  <c r="F28"/>
  <c r="G28"/>
  <c r="H28"/>
  <c r="I28"/>
  <c r="E8"/>
  <c r="G8"/>
  <c r="H8"/>
  <c r="H29" s="1"/>
  <c r="I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C8"/>
  <c r="B8"/>
  <c r="D9" i="51"/>
  <c r="F25" i="88"/>
  <c r="N1097" i="120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0"/>
  <c r="M1000"/>
  <c r="L1000"/>
  <c r="K1000"/>
  <c r="J1000"/>
  <c r="S9" i="51"/>
  <c r="S10"/>
  <c r="S11"/>
  <c r="S12"/>
  <c r="S13"/>
  <c r="S14"/>
  <c r="S15"/>
  <c r="S16"/>
  <c r="S17"/>
  <c r="S18"/>
  <c r="S19"/>
  <c r="S20"/>
  <c r="S21"/>
  <c r="S22"/>
  <c r="S23"/>
  <c r="S43"/>
  <c r="S44"/>
  <c r="S45"/>
  <c r="S46"/>
  <c r="S47"/>
  <c r="S8"/>
  <c r="V12"/>
  <c r="V13"/>
  <c r="V14"/>
  <c r="V15"/>
  <c r="V16"/>
  <c r="V17"/>
  <c r="V18"/>
  <c r="V19"/>
  <c r="V20"/>
  <c r="V21"/>
  <c r="V22"/>
  <c r="V23"/>
  <c r="V43"/>
  <c r="V44"/>
  <c r="V45"/>
  <c r="V46"/>
  <c r="V47"/>
  <c r="V8"/>
  <c r="V9"/>
  <c r="V10"/>
  <c r="V11"/>
  <c r="E24" i="88"/>
  <c r="G24"/>
  <c r="A3"/>
  <c r="E25"/>
  <c r="W19" i="174"/>
  <c r="W22"/>
  <c r="W25"/>
  <c r="W28"/>
  <c r="W47"/>
  <c r="W15"/>
  <c r="W14"/>
  <c r="W21"/>
  <c r="W24"/>
  <c r="W32"/>
  <c r="W27"/>
  <c r="W30"/>
  <c r="W33"/>
  <c r="W12"/>
  <c r="W8"/>
  <c r="W23"/>
  <c r="W26"/>
  <c r="W29"/>
  <c r="W10"/>
  <c r="W35"/>
  <c r="W38"/>
  <c r="W41"/>
  <c r="W44"/>
  <c r="W20"/>
  <c r="W31"/>
  <c r="W34"/>
  <c r="W37"/>
  <c r="W40"/>
  <c r="W18"/>
  <c r="W43"/>
  <c r="W46"/>
  <c r="W13"/>
  <c r="W17"/>
  <c r="W9"/>
  <c r="W39"/>
  <c r="W42"/>
  <c r="W45"/>
  <c r="W11"/>
  <c r="W36"/>
  <c r="W16"/>
  <c r="AI12" i="164"/>
  <c r="W12"/>
  <c r="AC12"/>
  <c r="AB12"/>
  <c r="Y12"/>
  <c r="G12"/>
  <c r="R12"/>
  <c r="F12"/>
  <c r="S12"/>
  <c r="V12"/>
  <c r="AQ11"/>
  <c r="B12"/>
  <c r="AS12"/>
  <c r="Z12"/>
  <c r="M12"/>
  <c r="AM11"/>
  <c r="U12"/>
  <c r="AA12"/>
  <c r="D12"/>
  <c r="P12"/>
  <c r="C12"/>
  <c r="O12"/>
  <c r="N12"/>
  <c r="H12"/>
  <c r="E12"/>
  <c r="T12"/>
  <c r="I28" i="169" l="1"/>
  <c r="I48" s="1"/>
  <c r="D28"/>
  <c r="E28"/>
  <c r="N12" i="165"/>
  <c r="A13" i="164"/>
  <c r="P9" i="174"/>
  <c r="G9" s="1"/>
  <c r="P10"/>
  <c r="G10" s="1"/>
  <c r="P11"/>
  <c r="D11" s="1"/>
  <c r="P12"/>
  <c r="D12" s="1"/>
  <c r="P13"/>
  <c r="G13" s="1"/>
  <c r="P14"/>
  <c r="G14" s="1"/>
  <c r="P15"/>
  <c r="D15" s="1"/>
  <c r="P16"/>
  <c r="P17"/>
  <c r="P18"/>
  <c r="P19"/>
  <c r="P20"/>
  <c r="P21"/>
  <c r="P22"/>
  <c r="P23"/>
  <c r="P24"/>
  <c r="P25"/>
  <c r="P26"/>
  <c r="P27"/>
  <c r="P28"/>
  <c r="E28" s="1"/>
  <c r="P29"/>
  <c r="P30"/>
  <c r="P31"/>
  <c r="P32"/>
  <c r="P33"/>
  <c r="P8"/>
  <c r="F9"/>
  <c r="I9"/>
  <c r="E9"/>
  <c r="F10"/>
  <c r="I10"/>
  <c r="E10"/>
  <c r="I11"/>
  <c r="G11"/>
  <c r="I12"/>
  <c r="E12"/>
  <c r="G12"/>
  <c r="F13"/>
  <c r="E13"/>
  <c r="F14"/>
  <c r="I15"/>
  <c r="G15"/>
  <c r="P34"/>
  <c r="P35"/>
  <c r="P36"/>
  <c r="P37"/>
  <c r="P38"/>
  <c r="P39"/>
  <c r="P40"/>
  <c r="P41"/>
  <c r="P42"/>
  <c r="P43"/>
  <c r="P44"/>
  <c r="P45"/>
  <c r="P46"/>
  <c r="P47"/>
  <c r="L49" i="172"/>
  <c r="H49"/>
  <c r="M49"/>
  <c r="I49"/>
  <c r="N49"/>
  <c r="J49"/>
  <c r="O49"/>
  <c r="K49"/>
  <c r="G49"/>
  <c r="I28" i="173"/>
  <c r="E28"/>
  <c r="D28"/>
  <c r="F14"/>
  <c r="G14"/>
  <c r="I14"/>
  <c r="D14"/>
  <c r="E14"/>
  <c r="I12"/>
  <c r="D12"/>
  <c r="E12"/>
  <c r="F12"/>
  <c r="G12"/>
  <c r="F10"/>
  <c r="G10"/>
  <c r="I10"/>
  <c r="D10"/>
  <c r="E10"/>
  <c r="I8"/>
  <c r="D8"/>
  <c r="E8"/>
  <c r="F8"/>
  <c r="G8"/>
  <c r="G48" i="172"/>
  <c r="M41" i="166"/>
  <c r="A3" i="175"/>
  <c r="F15" i="173"/>
  <c r="G15"/>
  <c r="I15"/>
  <c r="D15"/>
  <c r="E15"/>
  <c r="I13"/>
  <c r="D13"/>
  <c r="E13"/>
  <c r="F13"/>
  <c r="G13"/>
  <c r="F11"/>
  <c r="G11"/>
  <c r="I11"/>
  <c r="D11"/>
  <c r="E11"/>
  <c r="I9"/>
  <c r="D9"/>
  <c r="E9"/>
  <c r="F9"/>
  <c r="G9"/>
  <c r="I48" i="172"/>
  <c r="D25" i="88"/>
  <c r="F24"/>
  <c r="D24"/>
  <c r="D15" i="51"/>
  <c r="G15"/>
  <c r="E15"/>
  <c r="I15"/>
  <c r="F15"/>
  <c r="D13"/>
  <c r="G13"/>
  <c r="E13"/>
  <c r="I13"/>
  <c r="F13"/>
  <c r="D11"/>
  <c r="G11"/>
  <c r="E11"/>
  <c r="I11"/>
  <c r="F11"/>
  <c r="G14"/>
  <c r="E14"/>
  <c r="D14"/>
  <c r="I14"/>
  <c r="F14"/>
  <c r="G12"/>
  <c r="E12"/>
  <c r="D12"/>
  <c r="I12"/>
  <c r="F12"/>
  <c r="G10"/>
  <c r="E10"/>
  <c r="D10"/>
  <c r="I10"/>
  <c r="F10"/>
  <c r="D8"/>
  <c r="G9"/>
  <c r="I9"/>
  <c r="F9"/>
  <c r="I8"/>
  <c r="E9"/>
  <c r="I29" i="88"/>
  <c r="G16"/>
  <c r="G12"/>
  <c r="W47" i="175"/>
  <c r="W46"/>
  <c r="W35"/>
  <c r="W44"/>
  <c r="W14"/>
  <c r="W12"/>
  <c r="W28"/>
  <c r="W24"/>
  <c r="W11"/>
  <c r="W23"/>
  <c r="W45"/>
  <c r="W41"/>
  <c r="W38"/>
  <c r="W39"/>
  <c r="W37"/>
  <c r="W17"/>
  <c r="W19"/>
  <c r="W16"/>
  <c r="W26"/>
  <c r="W33"/>
  <c r="W34"/>
  <c r="W27"/>
  <c r="W43"/>
  <c r="W29"/>
  <c r="W15"/>
  <c r="W32"/>
  <c r="W8"/>
  <c r="W13"/>
  <c r="W10"/>
  <c r="W30"/>
  <c r="W22"/>
  <c r="W36"/>
  <c r="W20"/>
  <c r="W18"/>
  <c r="W9"/>
  <c r="W21"/>
  <c r="W25"/>
  <c r="W31"/>
  <c r="W40"/>
  <c r="W42"/>
  <c r="D13" i="164"/>
  <c r="P13"/>
  <c r="Q13"/>
  <c r="Q12"/>
  <c r="AC13"/>
  <c r="V13"/>
  <c r="Y13"/>
  <c r="M10"/>
  <c r="B13"/>
  <c r="X13"/>
  <c r="AS13"/>
  <c r="E13"/>
  <c r="U13"/>
  <c r="G13"/>
  <c r="AA13"/>
  <c r="R13"/>
  <c r="AB13"/>
  <c r="AN12"/>
  <c r="C13"/>
  <c r="W13"/>
  <c r="N13"/>
  <c r="Z13"/>
  <c r="T13"/>
  <c r="O13"/>
  <c r="X12"/>
  <c r="M13"/>
  <c r="S13"/>
  <c r="F13"/>
  <c r="AI13"/>
  <c r="H13"/>
  <c r="E15" i="174" l="1"/>
  <c r="I13"/>
  <c r="E11"/>
  <c r="D9"/>
  <c r="E14"/>
  <c r="I28"/>
  <c r="I14"/>
  <c r="D14"/>
  <c r="F12"/>
  <c r="D10"/>
  <c r="F15"/>
  <c r="D13"/>
  <c r="F11"/>
  <c r="D28"/>
  <c r="J49" i="169"/>
  <c r="K49"/>
  <c r="L49"/>
  <c r="M49"/>
  <c r="N49"/>
  <c r="O49"/>
  <c r="G49"/>
  <c r="H49"/>
  <c r="I49"/>
  <c r="N13" i="165"/>
  <c r="A14" i="164"/>
  <c r="P9" i="175"/>
  <c r="P10"/>
  <c r="F10" s="1"/>
  <c r="P11"/>
  <c r="P12"/>
  <c r="I12" s="1"/>
  <c r="P13"/>
  <c r="P14"/>
  <c r="F14" s="1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I48" i="173"/>
  <c r="P8" i="175"/>
  <c r="I9"/>
  <c r="D9"/>
  <c r="E9"/>
  <c r="F9"/>
  <c r="G9"/>
  <c r="G10"/>
  <c r="D10"/>
  <c r="F11"/>
  <c r="G11"/>
  <c r="I11"/>
  <c r="D11"/>
  <c r="E11"/>
  <c r="D12"/>
  <c r="F12"/>
  <c r="I13"/>
  <c r="D13"/>
  <c r="E13"/>
  <c r="F13"/>
  <c r="G13"/>
  <c r="G14"/>
  <c r="D14"/>
  <c r="F15"/>
  <c r="G15"/>
  <c r="I15"/>
  <c r="D15"/>
  <c r="E15"/>
  <c r="E28"/>
  <c r="F8" i="88"/>
  <c r="F9"/>
  <c r="F10"/>
  <c r="D10"/>
  <c r="N41" i="166"/>
  <c r="A3" i="176"/>
  <c r="G48" i="173"/>
  <c r="L49"/>
  <c r="H49"/>
  <c r="M49"/>
  <c r="I49"/>
  <c r="N49"/>
  <c r="J49"/>
  <c r="O49"/>
  <c r="K49"/>
  <c r="G49"/>
  <c r="F8" i="174"/>
  <c r="E8"/>
  <c r="D8"/>
  <c r="G8"/>
  <c r="I8"/>
  <c r="I48" s="1"/>
  <c r="D9" i="88"/>
  <c r="F16"/>
  <c r="F12"/>
  <c r="G25"/>
  <c r="I48" i="51"/>
  <c r="M49"/>
  <c r="I49"/>
  <c r="K49"/>
  <c r="N49"/>
  <c r="G49"/>
  <c r="H49"/>
  <c r="J49"/>
  <c r="L49"/>
  <c r="O49"/>
  <c r="G48"/>
  <c r="A10" i="165"/>
  <c r="F18" i="88"/>
  <c r="D12"/>
  <c r="D18"/>
  <c r="D16"/>
  <c r="W24" i="176"/>
  <c r="W42"/>
  <c r="W29"/>
  <c r="W23"/>
  <c r="W40"/>
  <c r="W19"/>
  <c r="W30"/>
  <c r="W26"/>
  <c r="W37"/>
  <c r="W46"/>
  <c r="W35"/>
  <c r="W33"/>
  <c r="W21"/>
  <c r="W9"/>
  <c r="W22"/>
  <c r="W11"/>
  <c r="W36"/>
  <c r="W20"/>
  <c r="W38"/>
  <c r="W27"/>
  <c r="W14"/>
  <c r="W45"/>
  <c r="W12"/>
  <c r="W16"/>
  <c r="W28"/>
  <c r="W47"/>
  <c r="W25"/>
  <c r="W31"/>
  <c r="W39"/>
  <c r="W41"/>
  <c r="W18"/>
  <c r="W13"/>
  <c r="W15"/>
  <c r="W8"/>
  <c r="W34"/>
  <c r="W43"/>
  <c r="W44"/>
  <c r="W32"/>
  <c r="W10"/>
  <c r="W17"/>
  <c r="F14" i="164"/>
  <c r="T10" i="165"/>
  <c r="Y14" i="164"/>
  <c r="E14"/>
  <c r="X14"/>
  <c r="S10" i="165"/>
  <c r="AJ10"/>
  <c r="AD10"/>
  <c r="AH10"/>
  <c r="AE10"/>
  <c r="G14" i="164"/>
  <c r="AC10" i="165"/>
  <c r="Q14" i="164"/>
  <c r="S14"/>
  <c r="U14"/>
  <c r="V14"/>
  <c r="T14"/>
  <c r="W14"/>
  <c r="C14"/>
  <c r="B14"/>
  <c r="AK10" i="165"/>
  <c r="M10"/>
  <c r="AI10"/>
  <c r="N14" i="164"/>
  <c r="M14"/>
  <c r="AC14"/>
  <c r="V10" i="165"/>
  <c r="X10" i="164"/>
  <c r="Z14"/>
  <c r="O14"/>
  <c r="AB14"/>
  <c r="V10"/>
  <c r="AG10" i="165"/>
  <c r="AA14" i="164"/>
  <c r="D14"/>
  <c r="O10" i="165"/>
  <c r="R14" i="164"/>
  <c r="AS14"/>
  <c r="R10" i="165"/>
  <c r="Q10"/>
  <c r="AI14" i="164"/>
  <c r="P14"/>
  <c r="P10" i="165"/>
  <c r="W10"/>
  <c r="U10"/>
  <c r="H14" i="164"/>
  <c r="AF10" i="165"/>
  <c r="AQ12" i="164"/>
  <c r="D28" i="175" l="1"/>
  <c r="E14"/>
  <c r="I14"/>
  <c r="G12"/>
  <c r="E12"/>
  <c r="E10"/>
  <c r="I10"/>
  <c r="N14" i="165"/>
  <c r="A15" i="164"/>
  <c r="O48" i="51"/>
  <c r="J48"/>
  <c r="K48"/>
  <c r="M48"/>
  <c r="L48"/>
  <c r="H48"/>
  <c r="N48"/>
  <c r="P9" i="176"/>
  <c r="D9" s="1"/>
  <c r="P10"/>
  <c r="P11"/>
  <c r="G11" s="1"/>
  <c r="P12"/>
  <c r="P13"/>
  <c r="D13" s="1"/>
  <c r="P14"/>
  <c r="P15"/>
  <c r="G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F39" s="1"/>
  <c r="P40"/>
  <c r="P41"/>
  <c r="P42"/>
  <c r="P43"/>
  <c r="P44"/>
  <c r="P45"/>
  <c r="P46"/>
  <c r="P47"/>
  <c r="P8"/>
  <c r="I9"/>
  <c r="E9"/>
  <c r="G9"/>
  <c r="F10"/>
  <c r="G10"/>
  <c r="I10"/>
  <c r="D10"/>
  <c r="E10"/>
  <c r="F11"/>
  <c r="I11"/>
  <c r="E11"/>
  <c r="I12"/>
  <c r="D12"/>
  <c r="E12"/>
  <c r="F12"/>
  <c r="G12"/>
  <c r="I13"/>
  <c r="E13"/>
  <c r="G13"/>
  <c r="F14"/>
  <c r="G14"/>
  <c r="I14"/>
  <c r="D14"/>
  <c r="E14"/>
  <c r="F15"/>
  <c r="I15"/>
  <c r="E15"/>
  <c r="I28"/>
  <c r="E28"/>
  <c r="D28"/>
  <c r="G48" i="174"/>
  <c r="L49"/>
  <c r="H49"/>
  <c r="M49"/>
  <c r="I49"/>
  <c r="N49"/>
  <c r="J49"/>
  <c r="O49"/>
  <c r="K49"/>
  <c r="G49"/>
  <c r="O41" i="166"/>
  <c r="A3" i="177"/>
  <c r="I8" i="175"/>
  <c r="I48" s="1"/>
  <c r="D8"/>
  <c r="E8"/>
  <c r="F8"/>
  <c r="G8"/>
  <c r="G18" i="88"/>
  <c r="F10" i="165"/>
  <c r="B10"/>
  <c r="D10"/>
  <c r="H10"/>
  <c r="C10"/>
  <c r="E10"/>
  <c r="E18" i="88"/>
  <c r="A11" i="165"/>
  <c r="E12" i="88"/>
  <c r="E16"/>
  <c r="W44" i="177"/>
  <c r="W20"/>
  <c r="W29"/>
  <c r="W30"/>
  <c r="W37"/>
  <c r="W19"/>
  <c r="W40"/>
  <c r="W17"/>
  <c r="W46"/>
  <c r="W27"/>
  <c r="W31"/>
  <c r="W24"/>
  <c r="W43"/>
  <c r="W33"/>
  <c r="W38"/>
  <c r="W16"/>
  <c r="W18"/>
  <c r="W28"/>
  <c r="W10"/>
  <c r="W34"/>
  <c r="W32"/>
  <c r="W45"/>
  <c r="W23"/>
  <c r="W36"/>
  <c r="W26"/>
  <c r="W39"/>
  <c r="W8"/>
  <c r="W12"/>
  <c r="W9"/>
  <c r="W35"/>
  <c r="W14"/>
  <c r="W11"/>
  <c r="W15"/>
  <c r="W22"/>
  <c r="W25"/>
  <c r="W21"/>
  <c r="W41"/>
  <c r="W13"/>
  <c r="W42"/>
  <c r="W47"/>
  <c r="AA10" i="164"/>
  <c r="AB10"/>
  <c r="AN13"/>
  <c r="AG11" i="165"/>
  <c r="Y15" i="164"/>
  <c r="C15"/>
  <c r="O15"/>
  <c r="G15"/>
  <c r="X15"/>
  <c r="AB15"/>
  <c r="W11" i="165"/>
  <c r="Q11"/>
  <c r="AI15" i="164"/>
  <c r="L10" i="165"/>
  <c r="AF11"/>
  <c r="V15" i="164"/>
  <c r="P15"/>
  <c r="AC15"/>
  <c r="Y10"/>
  <c r="U15"/>
  <c r="E15"/>
  <c r="P11" i="165"/>
  <c r="N15" i="164"/>
  <c r="T15"/>
  <c r="Q15"/>
  <c r="Z15"/>
  <c r="AD11" i="165"/>
  <c r="H15" i="164"/>
  <c r="W15"/>
  <c r="AK11" i="165"/>
  <c r="B15" i="164"/>
  <c r="AI11" i="165"/>
  <c r="U11"/>
  <c r="AC11"/>
  <c r="D15" i="164"/>
  <c r="AI10"/>
  <c r="S15"/>
  <c r="R15"/>
  <c r="S11" i="165"/>
  <c r="M11"/>
  <c r="AS15" i="164"/>
  <c r="AE11" i="165"/>
  <c r="Z10" i="164"/>
  <c r="T11" i="165"/>
  <c r="R11"/>
  <c r="O11"/>
  <c r="F15" i="164"/>
  <c r="AC10"/>
  <c r="W10"/>
  <c r="AA15"/>
  <c r="AH11" i="165"/>
  <c r="V11"/>
  <c r="M15" i="164"/>
  <c r="AJ11" i="165"/>
  <c r="L10" i="164"/>
  <c r="D15" i="176" l="1"/>
  <c r="F13"/>
  <c r="D11"/>
  <c r="F9"/>
  <c r="Z48" i="200"/>
  <c r="I48" s="1"/>
  <c r="Y48"/>
  <c r="H48" s="1"/>
  <c r="AB48"/>
  <c r="K48" s="1"/>
  <c r="AC48"/>
  <c r="L48" s="1"/>
  <c r="AA48"/>
  <c r="J48" s="1"/>
  <c r="X48"/>
  <c r="G48" s="1"/>
  <c r="V48"/>
  <c r="E48" s="1"/>
  <c r="N15" i="165"/>
  <c r="A16" i="164"/>
  <c r="P9" i="177"/>
  <c r="P10"/>
  <c r="G10" s="1"/>
  <c r="P11"/>
  <c r="P12"/>
  <c r="D12" s="1"/>
  <c r="P13"/>
  <c r="P14"/>
  <c r="G14" s="1"/>
  <c r="P15"/>
  <c r="P16"/>
  <c r="P17"/>
  <c r="P18"/>
  <c r="P19"/>
  <c r="P20"/>
  <c r="P21"/>
  <c r="P22"/>
  <c r="P23"/>
  <c r="P24"/>
  <c r="P25"/>
  <c r="P26"/>
  <c r="P27"/>
  <c r="P28"/>
  <c r="E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9"/>
  <c r="D9"/>
  <c r="E9"/>
  <c r="F9"/>
  <c r="G9"/>
  <c r="F10"/>
  <c r="E10"/>
  <c r="F11"/>
  <c r="G11"/>
  <c r="I11"/>
  <c r="D11"/>
  <c r="E11"/>
  <c r="I12"/>
  <c r="G12"/>
  <c r="I13"/>
  <c r="D13"/>
  <c r="E13"/>
  <c r="F13"/>
  <c r="G13"/>
  <c r="F14"/>
  <c r="E14"/>
  <c r="F15"/>
  <c r="G15"/>
  <c r="I15"/>
  <c r="D15"/>
  <c r="E15"/>
  <c r="I28"/>
  <c r="G48" i="175"/>
  <c r="L49"/>
  <c r="H49"/>
  <c r="M49"/>
  <c r="I49"/>
  <c r="N49"/>
  <c r="J49"/>
  <c r="O49"/>
  <c r="K49"/>
  <c r="G49"/>
  <c r="P41" i="166"/>
  <c r="A3" i="178"/>
  <c r="I8" i="176"/>
  <c r="I48" s="1"/>
  <c r="D8"/>
  <c r="E8"/>
  <c r="F8"/>
  <c r="G8"/>
  <c r="D11" i="165"/>
  <c r="F11"/>
  <c r="H11"/>
  <c r="E11"/>
  <c r="B11"/>
  <c r="C11"/>
  <c r="A12"/>
  <c r="AJ12" i="164"/>
  <c r="W37" i="178"/>
  <c r="W28"/>
  <c r="W21"/>
  <c r="W9"/>
  <c r="W19"/>
  <c r="W31"/>
  <c r="W27"/>
  <c r="W15"/>
  <c r="W39"/>
  <c r="W25"/>
  <c r="W44"/>
  <c r="W10"/>
  <c r="W23"/>
  <c r="W29"/>
  <c r="W26"/>
  <c r="W32"/>
  <c r="W30"/>
  <c r="W17"/>
  <c r="W40"/>
  <c r="W16"/>
  <c r="W46"/>
  <c r="W47"/>
  <c r="W20"/>
  <c r="W22"/>
  <c r="W42"/>
  <c r="W43"/>
  <c r="W8"/>
  <c r="W41"/>
  <c r="W36"/>
  <c r="W34"/>
  <c r="W24"/>
  <c r="W35"/>
  <c r="W45"/>
  <c r="W12"/>
  <c r="W33"/>
  <c r="W13"/>
  <c r="W38"/>
  <c r="W11"/>
  <c r="W14"/>
  <c r="W18"/>
  <c r="W16" i="164"/>
  <c r="AB16"/>
  <c r="S16"/>
  <c r="L11"/>
  <c r="T12" i="165"/>
  <c r="AC16" i="164"/>
  <c r="U12" i="165"/>
  <c r="N16" i="164"/>
  <c r="B16"/>
  <c r="L11" i="165"/>
  <c r="AQ13" i="164"/>
  <c r="V12" i="165"/>
  <c r="Z16" i="164"/>
  <c r="P16"/>
  <c r="H16"/>
  <c r="E16"/>
  <c r="I10"/>
  <c r="Y16"/>
  <c r="AH12" i="165"/>
  <c r="P12"/>
  <c r="V16" i="164"/>
  <c r="M16"/>
  <c r="O12" i="165"/>
  <c r="W12"/>
  <c r="Q16" i="164"/>
  <c r="X16"/>
  <c r="Q12" i="165"/>
  <c r="AI16" i="164"/>
  <c r="R12" i="165"/>
  <c r="U16" i="164"/>
  <c r="AD12" i="165"/>
  <c r="AF12"/>
  <c r="F16" i="164"/>
  <c r="AC12" i="165"/>
  <c r="AM12" i="164"/>
  <c r="AE12" i="165"/>
  <c r="AK12"/>
  <c r="R16" i="164"/>
  <c r="G16"/>
  <c r="D16"/>
  <c r="AA16"/>
  <c r="T16"/>
  <c r="AS16"/>
  <c r="M12" i="165"/>
  <c r="C16" i="164"/>
  <c r="AJ12" i="165"/>
  <c r="AI12"/>
  <c r="O16" i="164"/>
  <c r="S12" i="165"/>
  <c r="D28" i="177" l="1"/>
  <c r="I14"/>
  <c r="E12"/>
  <c r="I10"/>
  <c r="D14"/>
  <c r="F12"/>
  <c r="D10"/>
  <c r="N16" i="165"/>
  <c r="A17" i="164"/>
  <c r="P9" i="178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9"/>
  <c r="D9"/>
  <c r="E9"/>
  <c r="F9"/>
  <c r="G9"/>
  <c r="F10"/>
  <c r="G10"/>
  <c r="I10"/>
  <c r="D10"/>
  <c r="E10"/>
  <c r="F11"/>
  <c r="G11"/>
  <c r="I11"/>
  <c r="D11"/>
  <c r="E11"/>
  <c r="I12"/>
  <c r="D12"/>
  <c r="E12"/>
  <c r="F12"/>
  <c r="G12"/>
  <c r="I13"/>
  <c r="D13"/>
  <c r="E13"/>
  <c r="F13"/>
  <c r="G13"/>
  <c r="F14"/>
  <c r="G14"/>
  <c r="I14"/>
  <c r="D14"/>
  <c r="E14"/>
  <c r="I28"/>
  <c r="E28"/>
  <c r="D28"/>
  <c r="G48" i="176"/>
  <c r="L49"/>
  <c r="H49"/>
  <c r="M49"/>
  <c r="I49"/>
  <c r="N49"/>
  <c r="J49"/>
  <c r="O49"/>
  <c r="K49"/>
  <c r="G49"/>
  <c r="Q41" i="166"/>
  <c r="A3" i="179"/>
  <c r="I8" i="177"/>
  <c r="I48" s="1"/>
  <c r="D8"/>
  <c r="E8"/>
  <c r="F8"/>
  <c r="G8"/>
  <c r="D12" i="165"/>
  <c r="F12"/>
  <c r="B12"/>
  <c r="E12"/>
  <c r="C12"/>
  <c r="H12"/>
  <c r="A13"/>
  <c r="AJ13" i="164"/>
  <c r="W42" i="179"/>
  <c r="W18"/>
  <c r="W27"/>
  <c r="W19"/>
  <c r="W43"/>
  <c r="W14"/>
  <c r="W21"/>
  <c r="W45"/>
  <c r="W10"/>
  <c r="W34"/>
  <c r="W28"/>
  <c r="W24"/>
  <c r="W23"/>
  <c r="W35"/>
  <c r="W17"/>
  <c r="W9"/>
  <c r="W26"/>
  <c r="W33"/>
  <c r="W8"/>
  <c r="W32"/>
  <c r="W37"/>
  <c r="W16"/>
  <c r="W20"/>
  <c r="W39"/>
  <c r="W38"/>
  <c r="W30"/>
  <c r="W25"/>
  <c r="W40"/>
  <c r="W13"/>
  <c r="W36"/>
  <c r="W12"/>
  <c r="W44"/>
  <c r="W29"/>
  <c r="W11"/>
  <c r="W15"/>
  <c r="W22"/>
  <c r="W47"/>
  <c r="W46"/>
  <c r="W41"/>
  <c r="W31"/>
  <c r="I10" i="165"/>
  <c r="P17" i="164"/>
  <c r="O13" i="165"/>
  <c r="AS17" i="164"/>
  <c r="U13" i="165"/>
  <c r="L12"/>
  <c r="G17" i="164"/>
  <c r="AA17"/>
  <c r="R13" i="165"/>
  <c r="AI17" i="164"/>
  <c r="AN14"/>
  <c r="N17"/>
  <c r="Z17"/>
  <c r="U17"/>
  <c r="R17"/>
  <c r="L12"/>
  <c r="Q17"/>
  <c r="AD13" i="165"/>
  <c r="AH13"/>
  <c r="S13"/>
  <c r="AK13"/>
  <c r="S17" i="164"/>
  <c r="M13" i="165"/>
  <c r="AG12"/>
  <c r="C17" i="164"/>
  <c r="AC17"/>
  <c r="W17"/>
  <c r="H17"/>
  <c r="B17"/>
  <c r="V17"/>
  <c r="AM13"/>
  <c r="AF13" i="165"/>
  <c r="T13"/>
  <c r="T17" i="164"/>
  <c r="F17"/>
  <c r="Y17"/>
  <c r="Q13" i="165"/>
  <c r="O17" i="164"/>
  <c r="AE13" i="165"/>
  <c r="W13"/>
  <c r="D17" i="164"/>
  <c r="AJ13" i="165"/>
  <c r="I11" i="164"/>
  <c r="AB17"/>
  <c r="AC13" i="165"/>
  <c r="AI13"/>
  <c r="X17" i="164"/>
  <c r="E17"/>
  <c r="V13" i="165"/>
  <c r="M17" i="164"/>
  <c r="P13" i="165"/>
  <c r="N17" l="1"/>
  <c r="A18" i="164"/>
  <c r="AM10" i="165"/>
  <c r="P9" i="179"/>
  <c r="D9" s="1"/>
  <c r="P10"/>
  <c r="P11"/>
  <c r="G11" s="1"/>
  <c r="P12"/>
  <c r="P13"/>
  <c r="D13" s="1"/>
  <c r="P14"/>
  <c r="P15"/>
  <c r="G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E9"/>
  <c r="F10"/>
  <c r="G10"/>
  <c r="I10"/>
  <c r="D10"/>
  <c r="E10"/>
  <c r="F11"/>
  <c r="I11"/>
  <c r="E11"/>
  <c r="I12"/>
  <c r="D12"/>
  <c r="E12"/>
  <c r="F12"/>
  <c r="G12"/>
  <c r="I13"/>
  <c r="E13"/>
  <c r="G13"/>
  <c r="F14"/>
  <c r="G14"/>
  <c r="I14"/>
  <c r="D14"/>
  <c r="E14"/>
  <c r="F15"/>
  <c r="E15"/>
  <c r="I28"/>
  <c r="E28"/>
  <c r="D28"/>
  <c r="G48" i="177"/>
  <c r="M49"/>
  <c r="I49"/>
  <c r="N49"/>
  <c r="J49"/>
  <c r="O49"/>
  <c r="K49"/>
  <c r="G49"/>
  <c r="L49"/>
  <c r="H49"/>
  <c r="R41" i="166"/>
  <c r="A3" i="180"/>
  <c r="I8" i="178"/>
  <c r="I48" s="1"/>
  <c r="D8"/>
  <c r="E8"/>
  <c r="F8"/>
  <c r="G8"/>
  <c r="C13" i="165"/>
  <c r="F13"/>
  <c r="B13"/>
  <c r="E13"/>
  <c r="H13"/>
  <c r="D13"/>
  <c r="A14"/>
  <c r="AJ14" i="164"/>
  <c r="W35" i="180"/>
  <c r="W29"/>
  <c r="W10"/>
  <c r="W9"/>
  <c r="W36"/>
  <c r="W24"/>
  <c r="W12"/>
  <c r="W27"/>
  <c r="W21"/>
  <c r="W39"/>
  <c r="W11"/>
  <c r="W20"/>
  <c r="W30"/>
  <c r="W14"/>
  <c r="W17"/>
  <c r="W31"/>
  <c r="W25"/>
  <c r="W19"/>
  <c r="W42"/>
  <c r="W45"/>
  <c r="W33"/>
  <c r="W41"/>
  <c r="W18"/>
  <c r="W13"/>
  <c r="W40"/>
  <c r="W34"/>
  <c r="W38"/>
  <c r="W23"/>
  <c r="W44"/>
  <c r="W47"/>
  <c r="W37"/>
  <c r="W28"/>
  <c r="W22"/>
  <c r="W15"/>
  <c r="W8"/>
  <c r="W43"/>
  <c r="W32"/>
  <c r="W26"/>
  <c r="W16"/>
  <c r="W46"/>
  <c r="V18" i="164"/>
  <c r="AC14" i="165"/>
  <c r="M14"/>
  <c r="L13" i="164"/>
  <c r="AB18"/>
  <c r="Z18"/>
  <c r="O14" i="165"/>
  <c r="Q18" i="164"/>
  <c r="N18"/>
  <c r="C18"/>
  <c r="AI14" i="165"/>
  <c r="S14"/>
  <c r="S18" i="164"/>
  <c r="Q14" i="165"/>
  <c r="U14"/>
  <c r="F18" i="164"/>
  <c r="W18"/>
  <c r="V14" i="165"/>
  <c r="AF14"/>
  <c r="Y18" i="164"/>
  <c r="AM14"/>
  <c r="D18"/>
  <c r="AD14" i="165"/>
  <c r="U18" i="164"/>
  <c r="AQ14"/>
  <c r="AC18"/>
  <c r="M18"/>
  <c r="H18"/>
  <c r="L13" i="165"/>
  <c r="T18" i="164"/>
  <c r="B18"/>
  <c r="R18"/>
  <c r="AA18"/>
  <c r="AJ14" i="165"/>
  <c r="G18" i="164"/>
  <c r="AE14" i="165"/>
  <c r="I11"/>
  <c r="X18" i="164"/>
  <c r="AH14" i="165"/>
  <c r="E18" i="164"/>
  <c r="T14" i="165"/>
  <c r="AI18" i="164"/>
  <c r="AS18"/>
  <c r="R14" i="165"/>
  <c r="AG13"/>
  <c r="W14"/>
  <c r="O18" i="164"/>
  <c r="I12"/>
  <c r="P14" i="165"/>
  <c r="P18" i="164"/>
  <c r="I15" i="179" l="1"/>
  <c r="D15"/>
  <c r="F13"/>
  <c r="D11"/>
  <c r="F9"/>
  <c r="AM11" i="165"/>
  <c r="N18"/>
  <c r="A19" i="164"/>
  <c r="P9" i="180"/>
  <c r="F9" s="1"/>
  <c r="P10"/>
  <c r="P11"/>
  <c r="I11" s="1"/>
  <c r="P12"/>
  <c r="P13"/>
  <c r="F13" s="1"/>
  <c r="P14"/>
  <c r="P15"/>
  <c r="I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D9"/>
  <c r="I10"/>
  <c r="D10"/>
  <c r="E10"/>
  <c r="F10"/>
  <c r="G10"/>
  <c r="D11"/>
  <c r="F12"/>
  <c r="G12"/>
  <c r="I12"/>
  <c r="D12"/>
  <c r="E12"/>
  <c r="D13"/>
  <c r="I14"/>
  <c r="D14"/>
  <c r="E14"/>
  <c r="F14"/>
  <c r="G14"/>
  <c r="D15"/>
  <c r="D28"/>
  <c r="I28"/>
  <c r="E28"/>
  <c r="P8"/>
  <c r="G48" i="178"/>
  <c r="L49"/>
  <c r="H49"/>
  <c r="M49"/>
  <c r="I49"/>
  <c r="N49"/>
  <c r="J49"/>
  <c r="O49"/>
  <c r="K49"/>
  <c r="G49"/>
  <c r="S41" i="166"/>
  <c r="A3" i="181"/>
  <c r="I8" i="179"/>
  <c r="I48" s="1"/>
  <c r="D8"/>
  <c r="E8"/>
  <c r="F8"/>
  <c r="G8"/>
  <c r="D14" i="165"/>
  <c r="E14"/>
  <c r="B14"/>
  <c r="C14"/>
  <c r="F14"/>
  <c r="H14"/>
  <c r="A15"/>
  <c r="W13" i="181"/>
  <c r="W22"/>
  <c r="W46"/>
  <c r="W8"/>
  <c r="W32"/>
  <c r="W12"/>
  <c r="W15"/>
  <c r="W14"/>
  <c r="W16"/>
  <c r="W37"/>
  <c r="W44"/>
  <c r="W34"/>
  <c r="W24"/>
  <c r="W33"/>
  <c r="W47"/>
  <c r="W45"/>
  <c r="W23"/>
  <c r="W17"/>
  <c r="W31"/>
  <c r="W11"/>
  <c r="W10"/>
  <c r="W42"/>
  <c r="W29"/>
  <c r="W35"/>
  <c r="W43"/>
  <c r="W19"/>
  <c r="W40"/>
  <c r="W41"/>
  <c r="W18"/>
  <c r="W25"/>
  <c r="W9"/>
  <c r="W28"/>
  <c r="W30"/>
  <c r="W21"/>
  <c r="W26"/>
  <c r="W38"/>
  <c r="W39"/>
  <c r="W27"/>
  <c r="W36"/>
  <c r="W20"/>
  <c r="AC19" i="164"/>
  <c r="Q15" i="165"/>
  <c r="W15"/>
  <c r="L14" i="164"/>
  <c r="AS19"/>
  <c r="T19"/>
  <c r="AA19"/>
  <c r="Q19"/>
  <c r="AG14" i="165"/>
  <c r="R15"/>
  <c r="S19" i="164"/>
  <c r="I12" i="165"/>
  <c r="Z19" i="164"/>
  <c r="F19"/>
  <c r="AE15" i="165"/>
  <c r="N19" i="164"/>
  <c r="X19"/>
  <c r="AI15" i="165"/>
  <c r="AJ15"/>
  <c r="C19" i="164"/>
  <c r="I13"/>
  <c r="AN15"/>
  <c r="P15" i="165"/>
  <c r="G19" i="164"/>
  <c r="E19"/>
  <c r="H19"/>
  <c r="O15" i="165"/>
  <c r="O19" i="164"/>
  <c r="U15" i="165"/>
  <c r="AI19" i="164"/>
  <c r="AK14" i="165"/>
  <c r="R19" i="164"/>
  <c r="M19"/>
  <c r="M15" i="165"/>
  <c r="T15"/>
  <c r="D19" i="164"/>
  <c r="AC15" i="165"/>
  <c r="S15"/>
  <c r="B19" i="164"/>
  <c r="L14" i="165"/>
  <c r="AB19" i="164"/>
  <c r="V15" i="165"/>
  <c r="P19" i="164"/>
  <c r="V19"/>
  <c r="AF15" i="165"/>
  <c r="Y19" i="164"/>
  <c r="U19"/>
  <c r="W19"/>
  <c r="F15" i="180" l="1"/>
  <c r="G13"/>
  <c r="F11"/>
  <c r="G9"/>
  <c r="G15"/>
  <c r="E15"/>
  <c r="E13"/>
  <c r="I13"/>
  <c r="G11"/>
  <c r="E11"/>
  <c r="E9"/>
  <c r="I9"/>
  <c r="N19" i="165"/>
  <c r="A20" i="164"/>
  <c r="AM12" i="165"/>
  <c r="AM13"/>
  <c r="AJ15" i="164"/>
  <c r="P9" i="181"/>
  <c r="D9" s="1"/>
  <c r="P10"/>
  <c r="P11"/>
  <c r="G11" s="1"/>
  <c r="P12"/>
  <c r="P13"/>
  <c r="D13" s="1"/>
  <c r="P14"/>
  <c r="P15"/>
  <c r="G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F8" s="1"/>
  <c r="I9"/>
  <c r="G9"/>
  <c r="F10"/>
  <c r="G10"/>
  <c r="I10"/>
  <c r="D10"/>
  <c r="E10"/>
  <c r="F11"/>
  <c r="E11"/>
  <c r="I12"/>
  <c r="D12"/>
  <c r="E12"/>
  <c r="F12"/>
  <c r="G12"/>
  <c r="I13"/>
  <c r="G13"/>
  <c r="F14"/>
  <c r="G14"/>
  <c r="I14"/>
  <c r="D14"/>
  <c r="E14"/>
  <c r="F15"/>
  <c r="E15"/>
  <c r="I28"/>
  <c r="E28"/>
  <c r="D28"/>
  <c r="G48" i="179"/>
  <c r="L49"/>
  <c r="H49"/>
  <c r="M49"/>
  <c r="I49"/>
  <c r="N49"/>
  <c r="J49"/>
  <c r="O49"/>
  <c r="K49"/>
  <c r="G49"/>
  <c r="T41" i="166"/>
  <c r="A3" i="182"/>
  <c r="I48" i="180"/>
  <c r="D8"/>
  <c r="E8"/>
  <c r="F8"/>
  <c r="F15" i="165"/>
  <c r="C15"/>
  <c r="H15"/>
  <c r="B15"/>
  <c r="E15"/>
  <c r="D15"/>
  <c r="A16"/>
  <c r="W10" i="182"/>
  <c r="W19"/>
  <c r="W12"/>
  <c r="W22"/>
  <c r="W34"/>
  <c r="W37"/>
  <c r="W8"/>
  <c r="W27"/>
  <c r="W42"/>
  <c r="W14"/>
  <c r="W43"/>
  <c r="W41"/>
  <c r="W15"/>
  <c r="W13"/>
  <c r="W30"/>
  <c r="W25"/>
  <c r="W24"/>
  <c r="W32"/>
  <c r="W39"/>
  <c r="W46"/>
  <c r="W47"/>
  <c r="W33"/>
  <c r="W18"/>
  <c r="W38"/>
  <c r="W9"/>
  <c r="W21"/>
  <c r="W35"/>
  <c r="W36"/>
  <c r="W40"/>
  <c r="W11"/>
  <c r="W28"/>
  <c r="W31"/>
  <c r="W20"/>
  <c r="W16"/>
  <c r="W45"/>
  <c r="W44"/>
  <c r="W17"/>
  <c r="W23"/>
  <c r="W29"/>
  <c r="W26"/>
  <c r="G20" i="164"/>
  <c r="Q16" i="165"/>
  <c r="AI16"/>
  <c r="AI20" i="164"/>
  <c r="I14"/>
  <c r="V20"/>
  <c r="P20"/>
  <c r="L15"/>
  <c r="M20"/>
  <c r="AC16" i="165"/>
  <c r="X20" i="164"/>
  <c r="P16" i="165"/>
  <c r="O16"/>
  <c r="T20" i="164"/>
  <c r="O20"/>
  <c r="C20"/>
  <c r="W16" i="165"/>
  <c r="R20" i="164"/>
  <c r="AD15" i="165"/>
  <c r="U20" i="164"/>
  <c r="AQ15"/>
  <c r="AB20"/>
  <c r="Q20"/>
  <c r="AH15" i="165"/>
  <c r="Y20" i="164"/>
  <c r="H20"/>
  <c r="L15" i="165"/>
  <c r="B20" i="164"/>
  <c r="AC20"/>
  <c r="V16" i="165"/>
  <c r="AS20" i="164"/>
  <c r="S20"/>
  <c r="AM15"/>
  <c r="T16" i="165"/>
  <c r="W20" i="164"/>
  <c r="F20"/>
  <c r="I13" i="165"/>
  <c r="R16"/>
  <c r="AJ16"/>
  <c r="N20" i="164"/>
  <c r="Z20"/>
  <c r="AF16" i="165"/>
  <c r="M16"/>
  <c r="E20" i="164"/>
  <c r="AE16" i="165"/>
  <c r="AA20" i="164"/>
  <c r="S16" i="165"/>
  <c r="U16"/>
  <c r="D20" i="164"/>
  <c r="I15" i="181" l="1"/>
  <c r="E13"/>
  <c r="I11"/>
  <c r="E9"/>
  <c r="D8"/>
  <c r="N20" i="165"/>
  <c r="A21" i="164"/>
  <c r="AJ16"/>
  <c r="D15" i="181"/>
  <c r="F13"/>
  <c r="D11"/>
  <c r="F9"/>
  <c r="G8"/>
  <c r="G48" s="1"/>
  <c r="E8"/>
  <c r="I8"/>
  <c r="I48" s="1"/>
  <c r="P9" i="182"/>
  <c r="P10"/>
  <c r="D10" s="1"/>
  <c r="P11"/>
  <c r="P12"/>
  <c r="G12" s="1"/>
  <c r="P13"/>
  <c r="P14"/>
  <c r="D14" s="1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8" s="1"/>
  <c r="F9"/>
  <c r="G9"/>
  <c r="I9"/>
  <c r="D9"/>
  <c r="E9"/>
  <c r="E10"/>
  <c r="I11"/>
  <c r="D11"/>
  <c r="E11"/>
  <c r="F11"/>
  <c r="G11"/>
  <c r="I12"/>
  <c r="F13"/>
  <c r="G13"/>
  <c r="I13"/>
  <c r="D13"/>
  <c r="E13"/>
  <c r="E14"/>
  <c r="I15"/>
  <c r="D15"/>
  <c r="E15"/>
  <c r="F15"/>
  <c r="G15"/>
  <c r="E28"/>
  <c r="G48" i="180"/>
  <c r="L49"/>
  <c r="H49"/>
  <c r="M49"/>
  <c r="I49"/>
  <c r="N49"/>
  <c r="J49"/>
  <c r="O49"/>
  <c r="K49"/>
  <c r="G49"/>
  <c r="U41" i="166"/>
  <c r="A3" i="183"/>
  <c r="N49" i="181"/>
  <c r="J49"/>
  <c r="O49"/>
  <c r="K49"/>
  <c r="G49"/>
  <c r="L49"/>
  <c r="H49"/>
  <c r="M49"/>
  <c r="I49"/>
  <c r="H16" i="165"/>
  <c r="B16"/>
  <c r="D16"/>
  <c r="E16"/>
  <c r="C16"/>
  <c r="F16"/>
  <c r="A17"/>
  <c r="W11" i="183"/>
  <c r="W30"/>
  <c r="W14"/>
  <c r="W39"/>
  <c r="W32"/>
  <c r="W8"/>
  <c r="W15"/>
  <c r="W23"/>
  <c r="W29"/>
  <c r="W33"/>
  <c r="W13"/>
  <c r="W41"/>
  <c r="W47"/>
  <c r="W34"/>
  <c r="W17"/>
  <c r="W18"/>
  <c r="W43"/>
  <c r="W19"/>
  <c r="W21"/>
  <c r="W27"/>
  <c r="W20"/>
  <c r="W38"/>
  <c r="W45"/>
  <c r="W35"/>
  <c r="W31"/>
  <c r="W44"/>
  <c r="W25"/>
  <c r="W37"/>
  <c r="W22"/>
  <c r="W9"/>
  <c r="W24"/>
  <c r="W10"/>
  <c r="W46"/>
  <c r="W26"/>
  <c r="W16"/>
  <c r="W42"/>
  <c r="W28"/>
  <c r="W40"/>
  <c r="W12"/>
  <c r="W36"/>
  <c r="AF17" i="165"/>
  <c r="U21" i="164"/>
  <c r="P17" i="165"/>
  <c r="E21" i="164"/>
  <c r="D21"/>
  <c r="M21"/>
  <c r="AB21"/>
  <c r="W17" i="165"/>
  <c r="Y21" i="164"/>
  <c r="T17" i="165"/>
  <c r="AE17"/>
  <c r="Q21" i="164"/>
  <c r="I14" i="165"/>
  <c r="AC17"/>
  <c r="AC21" i="164"/>
  <c r="W21"/>
  <c r="R21"/>
  <c r="AA21"/>
  <c r="S17" i="165"/>
  <c r="AM16" i="164"/>
  <c r="AI21"/>
  <c r="L16" i="165"/>
  <c r="AD16"/>
  <c r="O21" i="164"/>
  <c r="AK15" i="165"/>
  <c r="AG15"/>
  <c r="AI17"/>
  <c r="V21" i="164"/>
  <c r="G21"/>
  <c r="N21"/>
  <c r="R17" i="165"/>
  <c r="Q17"/>
  <c r="M17"/>
  <c r="AN16" i="164"/>
  <c r="I15"/>
  <c r="H21"/>
  <c r="AS21"/>
  <c r="C21"/>
  <c r="P21"/>
  <c r="B21"/>
  <c r="L16"/>
  <c r="AJ17" i="165"/>
  <c r="O17"/>
  <c r="F21" i="164"/>
  <c r="X21"/>
  <c r="U17" i="165"/>
  <c r="V17"/>
  <c r="Z21" i="164"/>
  <c r="F8" i="182" l="1"/>
  <c r="D28"/>
  <c r="G14"/>
  <c r="I14"/>
  <c r="E12"/>
  <c r="F12"/>
  <c r="G10"/>
  <c r="I10"/>
  <c r="D8"/>
  <c r="F14"/>
  <c r="D12"/>
  <c r="F10"/>
  <c r="G8"/>
  <c r="E8"/>
  <c r="AM14" i="165"/>
  <c r="N21"/>
  <c r="A22" i="164"/>
  <c r="AJ17"/>
  <c r="P9" i="183"/>
  <c r="D9" s="1"/>
  <c r="P10"/>
  <c r="P11"/>
  <c r="G11" s="1"/>
  <c r="P12"/>
  <c r="P13"/>
  <c r="D13" s="1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F8" s="1"/>
  <c r="G48" i="182"/>
  <c r="I48"/>
  <c r="I9" i="183"/>
  <c r="E9"/>
  <c r="G9"/>
  <c r="F10"/>
  <c r="G10"/>
  <c r="I10"/>
  <c r="D10"/>
  <c r="E10"/>
  <c r="F11"/>
  <c r="I11"/>
  <c r="E11"/>
  <c r="F12"/>
  <c r="E12"/>
  <c r="D12"/>
  <c r="G12"/>
  <c r="I12"/>
  <c r="I13"/>
  <c r="E13"/>
  <c r="G13"/>
  <c r="F14"/>
  <c r="G14"/>
  <c r="I14"/>
  <c r="D14"/>
  <c r="E14"/>
  <c r="F15"/>
  <c r="G15"/>
  <c r="I15"/>
  <c r="D15"/>
  <c r="E15"/>
  <c r="I28"/>
  <c r="E28"/>
  <c r="D28"/>
  <c r="G8"/>
  <c r="D8"/>
  <c r="E8"/>
  <c r="V41" i="166"/>
  <c r="A3" i="184"/>
  <c r="L49" i="182"/>
  <c r="H49"/>
  <c r="M49"/>
  <c r="I49"/>
  <c r="N49"/>
  <c r="J49"/>
  <c r="O49"/>
  <c r="K49"/>
  <c r="G49"/>
  <c r="D17" i="165"/>
  <c r="F17"/>
  <c r="H17"/>
  <c r="B17"/>
  <c r="E17"/>
  <c r="C17"/>
  <c r="A18"/>
  <c r="W42" i="184"/>
  <c r="W14"/>
  <c r="W24"/>
  <c r="W31"/>
  <c r="W9"/>
  <c r="W37"/>
  <c r="W36"/>
  <c r="W43"/>
  <c r="W23"/>
  <c r="W33"/>
  <c r="W16"/>
  <c r="W15"/>
  <c r="W13"/>
  <c r="W41"/>
  <c r="W21"/>
  <c r="W40"/>
  <c r="W8"/>
  <c r="W46"/>
  <c r="W47"/>
  <c r="W10"/>
  <c r="W19"/>
  <c r="W22"/>
  <c r="W34"/>
  <c r="W32"/>
  <c r="W18"/>
  <c r="W20"/>
  <c r="W35"/>
  <c r="W26"/>
  <c r="W11"/>
  <c r="W38"/>
  <c r="W29"/>
  <c r="W12"/>
  <c r="W44"/>
  <c r="W28"/>
  <c r="W17"/>
  <c r="W30"/>
  <c r="W39"/>
  <c r="W27"/>
  <c r="W25"/>
  <c r="W45"/>
  <c r="G22" i="164"/>
  <c r="Q18" i="165"/>
  <c r="B22" i="164"/>
  <c r="W18" i="165"/>
  <c r="O22" i="164"/>
  <c r="V22"/>
  <c r="I16"/>
  <c r="Q22"/>
  <c r="O18" i="165"/>
  <c r="AM17" i="164"/>
  <c r="T18" i="165"/>
  <c r="Z22" i="164"/>
  <c r="I15" i="165"/>
  <c r="X22" i="164"/>
  <c r="Y22"/>
  <c r="AS22"/>
  <c r="AB22"/>
  <c r="AC22"/>
  <c r="R22"/>
  <c r="AJ18" i="165"/>
  <c r="S18"/>
  <c r="AF18"/>
  <c r="S22" i="164"/>
  <c r="D22"/>
  <c r="C22"/>
  <c r="AQ16"/>
  <c r="P22"/>
  <c r="T22"/>
  <c r="V18" i="165"/>
  <c r="AC18"/>
  <c r="AI18"/>
  <c r="R18"/>
  <c r="AI22" i="164"/>
  <c r="AE18" i="165"/>
  <c r="M22" i="164"/>
  <c r="AG16" i="165"/>
  <c r="U22" i="164"/>
  <c r="AD17" i="165"/>
  <c r="U18"/>
  <c r="P18"/>
  <c r="N22" i="164"/>
  <c r="E22"/>
  <c r="AH16" i="165"/>
  <c r="AA22" i="164"/>
  <c r="W22"/>
  <c r="L17" i="165"/>
  <c r="F22" i="164"/>
  <c r="L17"/>
  <c r="M18" i="165"/>
  <c r="H22" i="164"/>
  <c r="F13" i="183" l="1"/>
  <c r="D11"/>
  <c r="J49" s="1"/>
  <c r="F9"/>
  <c r="AM15" i="165"/>
  <c r="N22"/>
  <c r="A23" i="164"/>
  <c r="AJ18"/>
  <c r="I8" i="183"/>
  <c r="P9" i="184"/>
  <c r="P10"/>
  <c r="D10" s="1"/>
  <c r="P11"/>
  <c r="P12"/>
  <c r="G12" s="1"/>
  <c r="P13"/>
  <c r="P14"/>
  <c r="D14" s="1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8" s="1"/>
  <c r="G48" i="183"/>
  <c r="I48"/>
  <c r="F9" i="184"/>
  <c r="G9"/>
  <c r="I9"/>
  <c r="D9"/>
  <c r="E9"/>
  <c r="I10"/>
  <c r="E10"/>
  <c r="G10"/>
  <c r="I11"/>
  <c r="D11"/>
  <c r="E11"/>
  <c r="F11"/>
  <c r="G11"/>
  <c r="F12"/>
  <c r="I12"/>
  <c r="E12"/>
  <c r="F13"/>
  <c r="G13"/>
  <c r="I13"/>
  <c r="D13"/>
  <c r="E13"/>
  <c r="I14"/>
  <c r="E14"/>
  <c r="G14"/>
  <c r="I15"/>
  <c r="D15"/>
  <c r="E15"/>
  <c r="F15"/>
  <c r="G15"/>
  <c r="D28"/>
  <c r="E28"/>
  <c r="D8"/>
  <c r="F8"/>
  <c r="W41" i="166"/>
  <c r="A3" i="185"/>
  <c r="N49" i="183"/>
  <c r="O49"/>
  <c r="G49"/>
  <c r="H49"/>
  <c r="I49"/>
  <c r="H18" i="165"/>
  <c r="C18"/>
  <c r="D18"/>
  <c r="F18"/>
  <c r="B18"/>
  <c r="E18"/>
  <c r="A19"/>
  <c r="W21" i="185"/>
  <c r="W30"/>
  <c r="W11"/>
  <c r="W42"/>
  <c r="W31"/>
  <c r="W29"/>
  <c r="W16"/>
  <c r="W27"/>
  <c r="W46"/>
  <c r="W34"/>
  <c r="W41"/>
  <c r="W22"/>
  <c r="W13"/>
  <c r="W40"/>
  <c r="W28"/>
  <c r="W32"/>
  <c r="W20"/>
  <c r="W44"/>
  <c r="W25"/>
  <c r="W10"/>
  <c r="W15"/>
  <c r="W39"/>
  <c r="W18"/>
  <c r="W14"/>
  <c r="W33"/>
  <c r="W35"/>
  <c r="W26"/>
  <c r="W37"/>
  <c r="W19"/>
  <c r="W43"/>
  <c r="W47"/>
  <c r="W17"/>
  <c r="W45"/>
  <c r="W23"/>
  <c r="W9"/>
  <c r="W36"/>
  <c r="W24"/>
  <c r="W8"/>
  <c r="W12"/>
  <c r="W38"/>
  <c r="M23" i="164"/>
  <c r="P19" i="165"/>
  <c r="F23" i="164"/>
  <c r="W23"/>
  <c r="AS23"/>
  <c r="V19" i="165"/>
  <c r="AK16"/>
  <c r="W19"/>
  <c r="AM18" i="164"/>
  <c r="Q19" i="165"/>
  <c r="P23" i="164"/>
  <c r="T19" i="165"/>
  <c r="T23" i="164"/>
  <c r="L18"/>
  <c r="O19" i="165"/>
  <c r="R23" i="164"/>
  <c r="Q23"/>
  <c r="H23"/>
  <c r="N23"/>
  <c r="AN17"/>
  <c r="R19" i="165"/>
  <c r="S23" i="164"/>
  <c r="AC19" i="165"/>
  <c r="AE19"/>
  <c r="C23" i="164"/>
  <c r="S19" i="165"/>
  <c r="AB23" i="164"/>
  <c r="I17"/>
  <c r="AA23"/>
  <c r="AD18" i="165"/>
  <c r="X23" i="164"/>
  <c r="E23"/>
  <c r="U19" i="165"/>
  <c r="M19"/>
  <c r="AI19"/>
  <c r="I16"/>
  <c r="G23" i="164"/>
  <c r="Y23"/>
  <c r="U23"/>
  <c r="Z23"/>
  <c r="D23"/>
  <c r="AI23"/>
  <c r="AF19" i="165"/>
  <c r="AG17"/>
  <c r="L18"/>
  <c r="V23" i="164"/>
  <c r="O23"/>
  <c r="AC23"/>
  <c r="B23"/>
  <c r="M49" i="183" l="1"/>
  <c r="L49"/>
  <c r="K49"/>
  <c r="G8" i="184"/>
  <c r="E8"/>
  <c r="F14"/>
  <c r="D12"/>
  <c r="L49" s="1"/>
  <c r="F10"/>
  <c r="AM16" i="165"/>
  <c r="N23"/>
  <c r="A24" i="164"/>
  <c r="AJ19"/>
  <c r="I48" i="184"/>
  <c r="P9" i="185"/>
  <c r="I9" s="1"/>
  <c r="P10"/>
  <c r="G10" s="1"/>
  <c r="P11"/>
  <c r="F11" s="1"/>
  <c r="P12"/>
  <c r="I12" s="1"/>
  <c r="P13"/>
  <c r="I13" s="1"/>
  <c r="P14"/>
  <c r="F14" s="1"/>
  <c r="P15"/>
  <c r="G15" s="1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G48" i="184"/>
  <c r="D9" i="185"/>
  <c r="F9"/>
  <c r="F10"/>
  <c r="I10"/>
  <c r="E10"/>
  <c r="G11"/>
  <c r="D11"/>
  <c r="D12"/>
  <c r="F12"/>
  <c r="D13"/>
  <c r="F13"/>
  <c r="G14"/>
  <c r="F15"/>
  <c r="I15"/>
  <c r="E15"/>
  <c r="E8"/>
  <c r="X41" i="166"/>
  <c r="A3" i="186"/>
  <c r="H49" i="184"/>
  <c r="I49"/>
  <c r="J49"/>
  <c r="K49"/>
  <c r="C19" i="165"/>
  <c r="D19"/>
  <c r="E19"/>
  <c r="F19"/>
  <c r="B19"/>
  <c r="H19"/>
  <c r="A20"/>
  <c r="W47" i="186"/>
  <c r="W16"/>
  <c r="W36"/>
  <c r="W35"/>
  <c r="W34"/>
  <c r="W37"/>
  <c r="W43"/>
  <c r="W12"/>
  <c r="W17"/>
  <c r="W28"/>
  <c r="W8"/>
  <c r="W10"/>
  <c r="W29"/>
  <c r="W45"/>
  <c r="W27"/>
  <c r="W40"/>
  <c r="W39"/>
  <c r="W30"/>
  <c r="W32"/>
  <c r="W26"/>
  <c r="W11"/>
  <c r="W15"/>
  <c r="W13"/>
  <c r="W33"/>
  <c r="W25"/>
  <c r="W24"/>
  <c r="W31"/>
  <c r="W14"/>
  <c r="W22"/>
  <c r="W18"/>
  <c r="W38"/>
  <c r="W42"/>
  <c r="W46"/>
  <c r="W21"/>
  <c r="W44"/>
  <c r="W9"/>
  <c r="W41"/>
  <c r="W20"/>
  <c r="W23"/>
  <c r="W19"/>
  <c r="AQ17" i="164"/>
  <c r="AI24"/>
  <c r="O24"/>
  <c r="L19"/>
  <c r="L19" i="165"/>
  <c r="X24" i="164"/>
  <c r="R20" i="165"/>
  <c r="AG18"/>
  <c r="D24" i="164"/>
  <c r="AC24"/>
  <c r="Y24"/>
  <c r="Q24"/>
  <c r="W20" i="165"/>
  <c r="AM19" i="164"/>
  <c r="AE20" i="165"/>
  <c r="I18" i="164"/>
  <c r="AD19" i="165"/>
  <c r="P24" i="164"/>
  <c r="E24"/>
  <c r="AI20" i="165"/>
  <c r="V20"/>
  <c r="AC20"/>
  <c r="V24" i="164"/>
  <c r="F24"/>
  <c r="C24"/>
  <c r="Z24"/>
  <c r="P20" i="165"/>
  <c r="AJ20"/>
  <c r="AB24" i="164"/>
  <c r="AF20" i="165"/>
  <c r="M24" i="164"/>
  <c r="R24"/>
  <c r="Q20" i="165"/>
  <c r="O20"/>
  <c r="S20"/>
  <c r="N24" i="164"/>
  <c r="AH17" i="165"/>
  <c r="T20"/>
  <c r="I17"/>
  <c r="AS24" i="164"/>
  <c r="AA24"/>
  <c r="W24"/>
  <c r="T24"/>
  <c r="S24"/>
  <c r="M20" i="165"/>
  <c r="B24" i="164"/>
  <c r="U20" i="165"/>
  <c r="U24" i="164"/>
  <c r="G24"/>
  <c r="H24"/>
  <c r="G49" i="184" l="1"/>
  <c r="O49"/>
  <c r="N49"/>
  <c r="M49"/>
  <c r="F8" i="185"/>
  <c r="D14"/>
  <c r="G12"/>
  <c r="E12"/>
  <c r="D10"/>
  <c r="I8"/>
  <c r="E28"/>
  <c r="D15"/>
  <c r="G13"/>
  <c r="E13"/>
  <c r="E11"/>
  <c r="I11"/>
  <c r="G9"/>
  <c r="E9"/>
  <c r="D8"/>
  <c r="D28"/>
  <c r="E14"/>
  <c r="I14"/>
  <c r="AM17" i="165"/>
  <c r="I48" i="185"/>
  <c r="N24" i="165"/>
  <c r="A25" i="164"/>
  <c r="AJ20"/>
  <c r="P9" i="186"/>
  <c r="F9" s="1"/>
  <c r="P10"/>
  <c r="P11"/>
  <c r="I11" s="1"/>
  <c r="P12"/>
  <c r="P13"/>
  <c r="F13" s="1"/>
  <c r="P14"/>
  <c r="P15"/>
  <c r="I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48" i="185"/>
  <c r="I10" i="186"/>
  <c r="D10"/>
  <c r="E10"/>
  <c r="F10"/>
  <c r="G10"/>
  <c r="F12"/>
  <c r="G12"/>
  <c r="I12"/>
  <c r="D12"/>
  <c r="E12"/>
  <c r="I14"/>
  <c r="D14"/>
  <c r="E14"/>
  <c r="F14"/>
  <c r="G14"/>
  <c r="D28"/>
  <c r="I28"/>
  <c r="E28"/>
  <c r="I8"/>
  <c r="D8"/>
  <c r="E8"/>
  <c r="F8"/>
  <c r="G8"/>
  <c r="Y41" i="166"/>
  <c r="A3" i="187"/>
  <c r="N49" i="185"/>
  <c r="G49"/>
  <c r="I49"/>
  <c r="F20" i="165"/>
  <c r="B20"/>
  <c r="E20"/>
  <c r="C20"/>
  <c r="H20"/>
  <c r="D20"/>
  <c r="A21"/>
  <c r="W29" i="187"/>
  <c r="W36"/>
  <c r="W18"/>
  <c r="W44"/>
  <c r="W20"/>
  <c r="W30"/>
  <c r="W28"/>
  <c r="W14"/>
  <c r="W16"/>
  <c r="W9"/>
  <c r="W46"/>
  <c r="W45"/>
  <c r="W25"/>
  <c r="W47"/>
  <c r="W13"/>
  <c r="W17"/>
  <c r="W31"/>
  <c r="W34"/>
  <c r="W37"/>
  <c r="W12"/>
  <c r="W22"/>
  <c r="W23"/>
  <c r="W21"/>
  <c r="W19"/>
  <c r="W32"/>
  <c r="W8"/>
  <c r="W11"/>
  <c r="W15"/>
  <c r="W39"/>
  <c r="W41"/>
  <c r="W42"/>
  <c r="W26"/>
  <c r="W33"/>
  <c r="W43"/>
  <c r="W10"/>
  <c r="W38"/>
  <c r="W24"/>
  <c r="W27"/>
  <c r="W35"/>
  <c r="W40"/>
  <c r="U25" i="164"/>
  <c r="AM20"/>
  <c r="M25"/>
  <c r="W21" i="165"/>
  <c r="Z25" i="164"/>
  <c r="Y25"/>
  <c r="V21" i="165"/>
  <c r="AB25" i="164"/>
  <c r="R21" i="165"/>
  <c r="AJ21"/>
  <c r="AD20"/>
  <c r="B25" i="164"/>
  <c r="T21" i="165"/>
  <c r="AC25" i="164"/>
  <c r="P21" i="165"/>
  <c r="D25" i="164"/>
  <c r="M21" i="165"/>
  <c r="W25" i="164"/>
  <c r="AG19" i="165"/>
  <c r="AE21"/>
  <c r="AS25" i="164"/>
  <c r="U21" i="165"/>
  <c r="H25" i="164"/>
  <c r="AA25"/>
  <c r="S21" i="165"/>
  <c r="AK17"/>
  <c r="V25" i="164"/>
  <c r="T25"/>
  <c r="Q25"/>
  <c r="I19"/>
  <c r="R25"/>
  <c r="AI21" i="165"/>
  <c r="N25" i="164"/>
  <c r="L20"/>
  <c r="G25"/>
  <c r="AF21" i="165"/>
  <c r="I18"/>
  <c r="AN18" i="164"/>
  <c r="S25"/>
  <c r="AC21" i="165"/>
  <c r="Q21"/>
  <c r="F25" i="164"/>
  <c r="P25"/>
  <c r="AI25"/>
  <c r="L20" i="165"/>
  <c r="O25" i="164"/>
  <c r="X25"/>
  <c r="C25"/>
  <c r="E25"/>
  <c r="O21" i="165"/>
  <c r="D9" i="186" l="1"/>
  <c r="D15"/>
  <c r="D13"/>
  <c r="D11"/>
  <c r="O49" i="185"/>
  <c r="H49"/>
  <c r="F15" i="186"/>
  <c r="G13"/>
  <c r="F11"/>
  <c r="G9"/>
  <c r="J49" i="185"/>
  <c r="M49"/>
  <c r="L49"/>
  <c r="K49"/>
  <c r="G15" i="186"/>
  <c r="E15"/>
  <c r="E13"/>
  <c r="I13"/>
  <c r="G11"/>
  <c r="E11"/>
  <c r="E9"/>
  <c r="I9"/>
  <c r="I48" s="1"/>
  <c r="AM18" i="165"/>
  <c r="N25"/>
  <c r="A26" i="164"/>
  <c r="AJ21"/>
  <c r="P9" i="187"/>
  <c r="P10"/>
  <c r="P11"/>
  <c r="P12"/>
  <c r="P13"/>
  <c r="P14"/>
  <c r="F14" s="1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48" i="186"/>
  <c r="I9" i="187"/>
  <c r="D9"/>
  <c r="E9"/>
  <c r="F9"/>
  <c r="G9"/>
  <c r="F10"/>
  <c r="G10"/>
  <c r="I10"/>
  <c r="D10"/>
  <c r="E10"/>
  <c r="F11"/>
  <c r="G11"/>
  <c r="I11"/>
  <c r="D11"/>
  <c r="E11"/>
  <c r="I12"/>
  <c r="D12"/>
  <c r="E12"/>
  <c r="F12"/>
  <c r="G12"/>
  <c r="I13"/>
  <c r="D13"/>
  <c r="E13"/>
  <c r="F13"/>
  <c r="G13"/>
  <c r="G14"/>
  <c r="D14"/>
  <c r="F15"/>
  <c r="G15"/>
  <c r="I15"/>
  <c r="D15"/>
  <c r="E15"/>
  <c r="E28"/>
  <c r="E8"/>
  <c r="Z41" i="166"/>
  <c r="A3" i="188"/>
  <c r="L49" i="186"/>
  <c r="H49"/>
  <c r="M49"/>
  <c r="I49"/>
  <c r="N49"/>
  <c r="J49"/>
  <c r="O49"/>
  <c r="K49"/>
  <c r="G49"/>
  <c r="C21" i="165"/>
  <c r="H21"/>
  <c r="F21"/>
  <c r="D21"/>
  <c r="E21"/>
  <c r="B21"/>
  <c r="A22"/>
  <c r="W14" i="188"/>
  <c r="W42"/>
  <c r="W11"/>
  <c r="W24"/>
  <c r="W45"/>
  <c r="W39"/>
  <c r="W36"/>
  <c r="W25"/>
  <c r="W34"/>
  <c r="W20"/>
  <c r="W13"/>
  <c r="W40"/>
  <c r="W46"/>
  <c r="W43"/>
  <c r="W31"/>
  <c r="W26"/>
  <c r="W12"/>
  <c r="W16"/>
  <c r="W23"/>
  <c r="W15"/>
  <c r="W35"/>
  <c r="W9"/>
  <c r="W30"/>
  <c r="W27"/>
  <c r="W44"/>
  <c r="W10"/>
  <c r="W29"/>
  <c r="W33"/>
  <c r="W8"/>
  <c r="W28"/>
  <c r="W47"/>
  <c r="W22"/>
  <c r="W18"/>
  <c r="W38"/>
  <c r="W21"/>
  <c r="W17"/>
  <c r="W41"/>
  <c r="W19"/>
  <c r="W32"/>
  <c r="W37"/>
  <c r="W22" i="165"/>
  <c r="U22"/>
  <c r="S22"/>
  <c r="AI22"/>
  <c r="AS26" i="164"/>
  <c r="AC22" i="165"/>
  <c r="W26" i="164"/>
  <c r="C26"/>
  <c r="M26"/>
  <c r="O22" i="165"/>
  <c r="AQ18" i="164"/>
  <c r="Z26"/>
  <c r="Q26"/>
  <c r="L21" i="165"/>
  <c r="P22"/>
  <c r="O26" i="164"/>
  <c r="Y26"/>
  <c r="AC26"/>
  <c r="B26"/>
  <c r="U26"/>
  <c r="AI26"/>
  <c r="X26"/>
  <c r="AE22" i="165"/>
  <c r="E26" i="164"/>
  <c r="AD21" i="165"/>
  <c r="AN19" i="164"/>
  <c r="AG20" i="165"/>
  <c r="S26" i="164"/>
  <c r="T26"/>
  <c r="M22" i="165"/>
  <c r="AJ22"/>
  <c r="R22"/>
  <c r="P26" i="164"/>
  <c r="V26"/>
  <c r="T22" i="165"/>
  <c r="AM21" i="164"/>
  <c r="AF22" i="165"/>
  <c r="AA26" i="164"/>
  <c r="I19" i="165"/>
  <c r="AB26" i="164"/>
  <c r="N26"/>
  <c r="F26"/>
  <c r="D26"/>
  <c r="H26"/>
  <c r="I20"/>
  <c r="V22" i="165"/>
  <c r="L21" i="164"/>
  <c r="R26"/>
  <c r="G26"/>
  <c r="Q22" i="165"/>
  <c r="AH18"/>
  <c r="F8" i="187" l="1"/>
  <c r="AM19" i="165"/>
  <c r="D8" i="187"/>
  <c r="D28"/>
  <c r="E14"/>
  <c r="I14"/>
  <c r="N26" i="165"/>
  <c r="A27" i="164"/>
  <c r="AJ22"/>
  <c r="P9" i="188"/>
  <c r="G9" s="1"/>
  <c r="P10"/>
  <c r="D10" s="1"/>
  <c r="P11"/>
  <c r="D11" s="1"/>
  <c r="P12"/>
  <c r="G12" s="1"/>
  <c r="P13"/>
  <c r="G13" s="1"/>
  <c r="P14"/>
  <c r="D14" s="1"/>
  <c r="P15"/>
  <c r="D15" s="1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8" s="1"/>
  <c r="I48" i="187"/>
  <c r="G48"/>
  <c r="F9" i="188"/>
  <c r="I9"/>
  <c r="E9"/>
  <c r="I10"/>
  <c r="E10"/>
  <c r="G10"/>
  <c r="I11"/>
  <c r="E11"/>
  <c r="G11"/>
  <c r="F12"/>
  <c r="I12"/>
  <c r="E12"/>
  <c r="F13"/>
  <c r="I13"/>
  <c r="E13"/>
  <c r="I14"/>
  <c r="E14"/>
  <c r="G14"/>
  <c r="D28"/>
  <c r="D8"/>
  <c r="AA41" i="166"/>
  <c r="A3" i="189"/>
  <c r="J49" i="187"/>
  <c r="K49"/>
  <c r="L49"/>
  <c r="M49"/>
  <c r="F22" i="165"/>
  <c r="D22"/>
  <c r="H22"/>
  <c r="B22"/>
  <c r="C22"/>
  <c r="E22"/>
  <c r="A23"/>
  <c r="W21" i="189"/>
  <c r="W28"/>
  <c r="W47"/>
  <c r="W32"/>
  <c r="W16"/>
  <c r="W26"/>
  <c r="W20"/>
  <c r="W29"/>
  <c r="W45"/>
  <c r="W18"/>
  <c r="W14"/>
  <c r="W46"/>
  <c r="W19"/>
  <c r="W34"/>
  <c r="W13"/>
  <c r="W39"/>
  <c r="W15"/>
  <c r="W9"/>
  <c r="W24"/>
  <c r="W23"/>
  <c r="W36"/>
  <c r="W17"/>
  <c r="W38"/>
  <c r="W44"/>
  <c r="W43"/>
  <c r="W30"/>
  <c r="W27"/>
  <c r="W35"/>
  <c r="W10"/>
  <c r="W12"/>
  <c r="W25"/>
  <c r="W33"/>
  <c r="W8"/>
  <c r="W37"/>
  <c r="W11"/>
  <c r="W40"/>
  <c r="W31"/>
  <c r="W22"/>
  <c r="W41"/>
  <c r="W42"/>
  <c r="L22" i="165"/>
  <c r="C27" i="164"/>
  <c r="P23" i="165"/>
  <c r="AA27" i="164"/>
  <c r="AK18" i="165"/>
  <c r="X27" i="164"/>
  <c r="O23" i="165"/>
  <c r="T27" i="164"/>
  <c r="AE23" i="165"/>
  <c r="V23"/>
  <c r="U27" i="164"/>
  <c r="AS27"/>
  <c r="S27"/>
  <c r="S23" i="165"/>
  <c r="Q27" i="164"/>
  <c r="AC27"/>
  <c r="Y27"/>
  <c r="Z27"/>
  <c r="E27"/>
  <c r="AQ19"/>
  <c r="O27"/>
  <c r="M23" i="165"/>
  <c r="W23"/>
  <c r="L22" i="164"/>
  <c r="I21"/>
  <c r="R23" i="165"/>
  <c r="V27" i="164"/>
  <c r="AI27"/>
  <c r="B27"/>
  <c r="D27"/>
  <c r="T23" i="165"/>
  <c r="H27" i="164"/>
  <c r="AI23" i="165"/>
  <c r="U23"/>
  <c r="F27" i="164"/>
  <c r="AF23" i="165"/>
  <c r="AJ23"/>
  <c r="AB27" i="164"/>
  <c r="I20" i="165"/>
  <c r="AD22"/>
  <c r="M27" i="164"/>
  <c r="R27"/>
  <c r="Q23" i="165"/>
  <c r="AG21"/>
  <c r="N27" i="164"/>
  <c r="W27"/>
  <c r="P27"/>
  <c r="AM22"/>
  <c r="AH19" i="165"/>
  <c r="AC23"/>
  <c r="G27" i="164"/>
  <c r="N49" i="187" l="1"/>
  <c r="I49"/>
  <c r="H49"/>
  <c r="G49"/>
  <c r="O49"/>
  <c r="E15" i="188"/>
  <c r="D13"/>
  <c r="F11"/>
  <c r="D9"/>
  <c r="F15"/>
  <c r="E28"/>
  <c r="F14"/>
  <c r="D12"/>
  <c r="F10"/>
  <c r="F8"/>
  <c r="G8"/>
  <c r="E8"/>
  <c r="AM20" i="165"/>
  <c r="N27"/>
  <c r="A28" i="164"/>
  <c r="AM21" i="165"/>
  <c r="AJ23" i="164"/>
  <c r="I48" i="188"/>
  <c r="P9" i="189"/>
  <c r="I9" s="1"/>
  <c r="P10"/>
  <c r="P11"/>
  <c r="F11" s="1"/>
  <c r="P12"/>
  <c r="P13"/>
  <c r="I13" s="1"/>
  <c r="P14"/>
  <c r="P15"/>
  <c r="F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G48" i="188"/>
  <c r="F10" i="189"/>
  <c r="G10"/>
  <c r="I10"/>
  <c r="D10"/>
  <c r="E10"/>
  <c r="I12"/>
  <c r="D12"/>
  <c r="E12"/>
  <c r="F12"/>
  <c r="G12"/>
  <c r="F14"/>
  <c r="G14"/>
  <c r="I14"/>
  <c r="D14"/>
  <c r="E14"/>
  <c r="I28"/>
  <c r="E28"/>
  <c r="D28"/>
  <c r="F8"/>
  <c r="I8"/>
  <c r="E8"/>
  <c r="AB41" i="166"/>
  <c r="A3" i="190"/>
  <c r="L49" i="188"/>
  <c r="H49"/>
  <c r="M49"/>
  <c r="I49"/>
  <c r="N49"/>
  <c r="J49"/>
  <c r="O49"/>
  <c r="K49"/>
  <c r="G49"/>
  <c r="D23" i="165"/>
  <c r="E23"/>
  <c r="F23"/>
  <c r="C23"/>
  <c r="B23"/>
  <c r="H23"/>
  <c r="A24"/>
  <c r="W35" i="190"/>
  <c r="W33"/>
  <c r="W10"/>
  <c r="W44"/>
  <c r="W38"/>
  <c r="W41"/>
  <c r="W23"/>
  <c r="W8"/>
  <c r="W17"/>
  <c r="W9"/>
  <c r="W31"/>
  <c r="W22"/>
  <c r="W32"/>
  <c r="W14"/>
  <c r="W46"/>
  <c r="W21"/>
  <c r="W36"/>
  <c r="W15"/>
  <c r="W43"/>
  <c r="W13"/>
  <c r="W20"/>
  <c r="W12"/>
  <c r="W11"/>
  <c r="W42"/>
  <c r="W34"/>
  <c r="W25"/>
  <c r="W19"/>
  <c r="W39"/>
  <c r="W37"/>
  <c r="W28"/>
  <c r="W45"/>
  <c r="W47"/>
  <c r="W16"/>
  <c r="W18"/>
  <c r="W30"/>
  <c r="W26"/>
  <c r="W24"/>
  <c r="W29"/>
  <c r="W27"/>
  <c r="W40"/>
  <c r="AD23" i="165"/>
  <c r="H28" i="164"/>
  <c r="Y28"/>
  <c r="W24" i="165"/>
  <c r="AJ24"/>
  <c r="Q24"/>
  <c r="M24"/>
  <c r="S28" i="164"/>
  <c r="R28"/>
  <c r="AB28"/>
  <c r="AE24" i="165"/>
  <c r="R24"/>
  <c r="I21"/>
  <c r="AI24"/>
  <c r="P28" i="164"/>
  <c r="D28"/>
  <c r="G28"/>
  <c r="AN20"/>
  <c r="T28"/>
  <c r="L23"/>
  <c r="V28"/>
  <c r="I22"/>
  <c r="W28"/>
  <c r="U28"/>
  <c r="AM23"/>
  <c r="AS28"/>
  <c r="P24" i="165"/>
  <c r="Q28" i="164"/>
  <c r="X28"/>
  <c r="B28"/>
  <c r="S24" i="165"/>
  <c r="AA28" i="164"/>
  <c r="O28"/>
  <c r="O24" i="165"/>
  <c r="AC28" i="164"/>
  <c r="L23" i="165"/>
  <c r="AI28" i="164"/>
  <c r="AF24" i="165"/>
  <c r="F28" i="164"/>
  <c r="E28"/>
  <c r="M28"/>
  <c r="U24" i="165"/>
  <c r="AG22"/>
  <c r="C28" i="164"/>
  <c r="T24" i="165"/>
  <c r="Z28" i="164"/>
  <c r="V24" i="165"/>
  <c r="N28" i="164"/>
  <c r="AC24" i="165"/>
  <c r="G15" i="189" l="1"/>
  <c r="F13"/>
  <c r="G11"/>
  <c r="F9"/>
  <c r="D15"/>
  <c r="D13"/>
  <c r="D11"/>
  <c r="D9"/>
  <c r="E15"/>
  <c r="I15"/>
  <c r="G13"/>
  <c r="E13"/>
  <c r="E11"/>
  <c r="I11"/>
  <c r="G9"/>
  <c r="G48" s="1"/>
  <c r="E9"/>
  <c r="N28" i="165"/>
  <c r="A29" i="164"/>
  <c r="AJ24"/>
  <c r="I48" i="189"/>
  <c r="D8"/>
  <c r="N49" s="1"/>
  <c r="P9" i="190"/>
  <c r="F9" s="1"/>
  <c r="P10"/>
  <c r="D10" s="1"/>
  <c r="P11"/>
  <c r="I11" s="1"/>
  <c r="P12"/>
  <c r="F12" s="1"/>
  <c r="P13"/>
  <c r="F13" s="1"/>
  <c r="P14"/>
  <c r="D14" s="1"/>
  <c r="P15"/>
  <c r="I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D8" s="1"/>
  <c r="G9"/>
  <c r="D9"/>
  <c r="I10"/>
  <c r="E10"/>
  <c r="G10"/>
  <c r="D11"/>
  <c r="F11"/>
  <c r="G12"/>
  <c r="D12"/>
  <c r="G13"/>
  <c r="D13"/>
  <c r="I14"/>
  <c r="E14"/>
  <c r="G14"/>
  <c r="D15"/>
  <c r="F15"/>
  <c r="I28"/>
  <c r="I8"/>
  <c r="AC41" i="166"/>
  <c r="A3" i="191"/>
  <c r="J49" i="189"/>
  <c r="K49"/>
  <c r="L49"/>
  <c r="M49"/>
  <c r="C24" i="165"/>
  <c r="D24"/>
  <c r="F24"/>
  <c r="B24"/>
  <c r="E24"/>
  <c r="H24"/>
  <c r="A25"/>
  <c r="W36" i="191"/>
  <c r="W32"/>
  <c r="W25"/>
  <c r="W29"/>
  <c r="W9"/>
  <c r="W13"/>
  <c r="W18"/>
  <c r="W16"/>
  <c r="W28"/>
  <c r="W30"/>
  <c r="W33"/>
  <c r="W44"/>
  <c r="W40"/>
  <c r="W21"/>
  <c r="W22"/>
  <c r="W43"/>
  <c r="W12"/>
  <c r="W47"/>
  <c r="W34"/>
  <c r="W46"/>
  <c r="W42"/>
  <c r="W23"/>
  <c r="W38"/>
  <c r="W26"/>
  <c r="W15"/>
  <c r="W17"/>
  <c r="W14"/>
  <c r="W31"/>
  <c r="W27"/>
  <c r="W24"/>
  <c r="W19"/>
  <c r="W8"/>
  <c r="W41"/>
  <c r="W11"/>
  <c r="W35"/>
  <c r="W10"/>
  <c r="W39"/>
  <c r="W45"/>
  <c r="W20"/>
  <c r="W37"/>
  <c r="T29" i="164"/>
  <c r="W29"/>
  <c r="AG23" i="165"/>
  <c r="B29" i="164"/>
  <c r="O29"/>
  <c r="AH20" i="165"/>
  <c r="AI25"/>
  <c r="AD24"/>
  <c r="M29" i="164"/>
  <c r="AA29"/>
  <c r="X29"/>
  <c r="S29"/>
  <c r="F29"/>
  <c r="C29"/>
  <c r="L24" i="165"/>
  <c r="AC25"/>
  <c r="I23" i="164"/>
  <c r="D29"/>
  <c r="H29"/>
  <c r="M25" i="165"/>
  <c r="AS29" i="164"/>
  <c r="AI29"/>
  <c r="T25" i="165"/>
  <c r="P25"/>
  <c r="V25"/>
  <c r="L24" i="164"/>
  <c r="P29"/>
  <c r="R25" i="165"/>
  <c r="V29" i="164"/>
  <c r="AJ25" i="165"/>
  <c r="Q25"/>
  <c r="O25"/>
  <c r="Q29" i="164"/>
  <c r="AM24"/>
  <c r="AE25" i="165"/>
  <c r="AC29" i="164"/>
  <c r="I22" i="165"/>
  <c r="AB29" i="164"/>
  <c r="U25" i="165"/>
  <c r="S25"/>
  <c r="U29" i="164"/>
  <c r="E29"/>
  <c r="Z29"/>
  <c r="N29"/>
  <c r="AQ20"/>
  <c r="AF25" i="165"/>
  <c r="R29" i="164"/>
  <c r="W25" i="165"/>
  <c r="Y29" i="164"/>
  <c r="G29"/>
  <c r="G8" i="190" l="1"/>
  <c r="I49" i="189"/>
  <c r="H49"/>
  <c r="G49"/>
  <c r="O49"/>
  <c r="E8" i="190"/>
  <c r="E28"/>
  <c r="F14"/>
  <c r="E12"/>
  <c r="I12"/>
  <c r="F10"/>
  <c r="AM22" i="165"/>
  <c r="F8" i="190"/>
  <c r="N29" i="165"/>
  <c r="A30" i="164"/>
  <c r="AJ25"/>
  <c r="G15" i="190"/>
  <c r="E15"/>
  <c r="E13"/>
  <c r="I13"/>
  <c r="G11"/>
  <c r="E11"/>
  <c r="E9"/>
  <c r="I9"/>
  <c r="I48" s="1"/>
  <c r="P9" i="191"/>
  <c r="I9" s="1"/>
  <c r="P10"/>
  <c r="F10" s="1"/>
  <c r="P11"/>
  <c r="G11" s="1"/>
  <c r="P12"/>
  <c r="I12" s="1"/>
  <c r="P13"/>
  <c r="I13" s="1"/>
  <c r="P14"/>
  <c r="F14" s="1"/>
  <c r="P15"/>
  <c r="G15" s="1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G48" i="190"/>
  <c r="D9" i="191"/>
  <c r="F9"/>
  <c r="G10"/>
  <c r="D10"/>
  <c r="F11"/>
  <c r="I11"/>
  <c r="E11"/>
  <c r="D12"/>
  <c r="F12"/>
  <c r="D13"/>
  <c r="F13"/>
  <c r="G14"/>
  <c r="D14"/>
  <c r="F15"/>
  <c r="I15"/>
  <c r="E15"/>
  <c r="E28"/>
  <c r="AD41" i="166"/>
  <c r="A3" i="193"/>
  <c r="L49" i="190"/>
  <c r="H49"/>
  <c r="M49"/>
  <c r="I49"/>
  <c r="N49"/>
  <c r="J49"/>
  <c r="O49"/>
  <c r="K49"/>
  <c r="G49"/>
  <c r="H25" i="165"/>
  <c r="F25"/>
  <c r="E25"/>
  <c r="D25"/>
  <c r="C25"/>
  <c r="B25"/>
  <c r="A26"/>
  <c r="W42" i="193"/>
  <c r="W41"/>
  <c r="W47"/>
  <c r="W30"/>
  <c r="W9"/>
  <c r="W31"/>
  <c r="W10"/>
  <c r="W36"/>
  <c r="W18"/>
  <c r="W14"/>
  <c r="W23"/>
  <c r="W37"/>
  <c r="W26"/>
  <c r="W29"/>
  <c r="W39"/>
  <c r="W13"/>
  <c r="W20"/>
  <c r="W15"/>
  <c r="W46"/>
  <c r="W38"/>
  <c r="W25"/>
  <c r="W21"/>
  <c r="W11"/>
  <c r="W27"/>
  <c r="W33"/>
  <c r="W17"/>
  <c r="W8"/>
  <c r="W12"/>
  <c r="W44"/>
  <c r="W43"/>
  <c r="W24"/>
  <c r="W45"/>
  <c r="W34"/>
  <c r="W28"/>
  <c r="W32"/>
  <c r="W19"/>
  <c r="W16"/>
  <c r="W40"/>
  <c r="W22"/>
  <c r="W35"/>
  <c r="Q26" i="165"/>
  <c r="V30" i="164"/>
  <c r="N30"/>
  <c r="AC26" i="165"/>
  <c r="Z30" i="164"/>
  <c r="P26" i="165"/>
  <c r="AB30" i="164"/>
  <c r="X30"/>
  <c r="S26" i="165"/>
  <c r="AD25"/>
  <c r="AM25" i="164"/>
  <c r="M30"/>
  <c r="T30"/>
  <c r="B30"/>
  <c r="AG24" i="165"/>
  <c r="AC30" i="164"/>
  <c r="O30"/>
  <c r="Q30"/>
  <c r="P30"/>
  <c r="AI30"/>
  <c r="AJ26" i="165"/>
  <c r="R30" i="164"/>
  <c r="O26" i="165"/>
  <c r="AN21" i="164"/>
  <c r="AA30"/>
  <c r="L25" i="165"/>
  <c r="M26"/>
  <c r="AF26"/>
  <c r="AS30" i="164"/>
  <c r="G30"/>
  <c r="F30"/>
  <c r="AH21" i="165"/>
  <c r="S30" i="164"/>
  <c r="R26" i="165"/>
  <c r="C30" i="164"/>
  <c r="Y30"/>
  <c r="I23" i="165"/>
  <c r="AK20"/>
  <c r="H30" i="164"/>
  <c r="E30"/>
  <c r="L25"/>
  <c r="I24"/>
  <c r="D30"/>
  <c r="AE26" i="165"/>
  <c r="W30" i="164"/>
  <c r="T26" i="165"/>
  <c r="W26"/>
  <c r="U26"/>
  <c r="U30" i="164"/>
  <c r="AI26" i="165"/>
  <c r="V26"/>
  <c r="D15" i="191" l="1"/>
  <c r="G13"/>
  <c r="E13"/>
  <c r="D11"/>
  <c r="G9"/>
  <c r="E9"/>
  <c r="E8"/>
  <c r="I8"/>
  <c r="F8"/>
  <c r="D8"/>
  <c r="D28"/>
  <c r="E14"/>
  <c r="I14"/>
  <c r="G12"/>
  <c r="E12"/>
  <c r="E10"/>
  <c r="I10"/>
  <c r="AM23" i="165"/>
  <c r="N30"/>
  <c r="A31" i="164"/>
  <c r="P9" i="193"/>
  <c r="P10"/>
  <c r="D10" s="1"/>
  <c r="P11"/>
  <c r="P12"/>
  <c r="G12" s="1"/>
  <c r="P13"/>
  <c r="P14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I8" s="1"/>
  <c r="I48" i="191"/>
  <c r="G48"/>
  <c r="F9" i="193"/>
  <c r="G9"/>
  <c r="I9"/>
  <c r="D9"/>
  <c r="E9"/>
  <c r="I10"/>
  <c r="E10"/>
  <c r="G10"/>
  <c r="I11"/>
  <c r="D11"/>
  <c r="E11"/>
  <c r="F11"/>
  <c r="G11"/>
  <c r="F12"/>
  <c r="I12"/>
  <c r="E12"/>
  <c r="F13"/>
  <c r="G13"/>
  <c r="I13"/>
  <c r="D13"/>
  <c r="E13"/>
  <c r="I14"/>
  <c r="D14"/>
  <c r="E14"/>
  <c r="F14"/>
  <c r="G14"/>
  <c r="I15"/>
  <c r="D15"/>
  <c r="E15"/>
  <c r="F15"/>
  <c r="G15"/>
  <c r="D28"/>
  <c r="E28"/>
  <c r="AE41" i="166"/>
  <c r="A3" i="194"/>
  <c r="N49" i="191"/>
  <c r="J49"/>
  <c r="O49"/>
  <c r="K49"/>
  <c r="G49"/>
  <c r="L49"/>
  <c r="H49"/>
  <c r="M49"/>
  <c r="I49"/>
  <c r="D26" i="165"/>
  <c r="E26"/>
  <c r="H26"/>
  <c r="C26"/>
  <c r="B26"/>
  <c r="F26"/>
  <c r="A27"/>
  <c r="W44" i="194"/>
  <c r="W21"/>
  <c r="W10"/>
  <c r="W16"/>
  <c r="W20"/>
  <c r="W8"/>
  <c r="W9"/>
  <c r="W24"/>
  <c r="W29"/>
  <c r="W27"/>
  <c r="W15"/>
  <c r="W38"/>
  <c r="W40"/>
  <c r="W45"/>
  <c r="W22"/>
  <c r="W46"/>
  <c r="W18"/>
  <c r="W41"/>
  <c r="W36"/>
  <c r="W23"/>
  <c r="W47"/>
  <c r="W37"/>
  <c r="W34"/>
  <c r="W13"/>
  <c r="W39"/>
  <c r="W26"/>
  <c r="W42"/>
  <c r="W12"/>
  <c r="W11"/>
  <c r="W25"/>
  <c r="W30"/>
  <c r="W19"/>
  <c r="W43"/>
  <c r="W28"/>
  <c r="W17"/>
  <c r="W31"/>
  <c r="W33"/>
  <c r="W35"/>
  <c r="W32"/>
  <c r="W14"/>
  <c r="AF27" i="165"/>
  <c r="AS31" i="164"/>
  <c r="L26" i="165"/>
  <c r="AI27"/>
  <c r="S31" i="164"/>
  <c r="V27" i="165"/>
  <c r="O27"/>
  <c r="M27"/>
  <c r="Y31" i="164"/>
  <c r="AG25" i="165"/>
  <c r="E31" i="164"/>
  <c r="I24" i="165"/>
  <c r="I25" i="164"/>
  <c r="AE27" i="165"/>
  <c r="S27"/>
  <c r="M31" i="164"/>
  <c r="Q31"/>
  <c r="AA31"/>
  <c r="U27" i="165"/>
  <c r="T27"/>
  <c r="F31" i="164"/>
  <c r="AC27" i="165"/>
  <c r="W27"/>
  <c r="N31" i="164"/>
  <c r="AQ21"/>
  <c r="AN22" s="1"/>
  <c r="T31"/>
  <c r="P27" i="165"/>
  <c r="U31" i="164"/>
  <c r="R31"/>
  <c r="AB31"/>
  <c r="C31"/>
  <c r="D31"/>
  <c r="B31"/>
  <c r="H31"/>
  <c r="G31"/>
  <c r="AJ27" i="165"/>
  <c r="L26" i="164"/>
  <c r="AC31"/>
  <c r="W31"/>
  <c r="Q27" i="165"/>
  <c r="X31" i="164"/>
  <c r="AK21" i="165"/>
  <c r="R27"/>
  <c r="Z31" i="164"/>
  <c r="P31"/>
  <c r="O31"/>
  <c r="V31"/>
  <c r="AI31"/>
  <c r="D12" i="193" l="1"/>
  <c r="F10"/>
  <c r="I48"/>
  <c r="F8"/>
  <c r="D8"/>
  <c r="L49" s="1"/>
  <c r="G8"/>
  <c r="E8"/>
  <c r="N31" i="165"/>
  <c r="A32" i="164"/>
  <c r="AM24" i="165"/>
  <c r="AJ26" i="164"/>
  <c r="P9" i="194"/>
  <c r="P10"/>
  <c r="F10" s="1"/>
  <c r="P11"/>
  <c r="P12"/>
  <c r="I12" s="1"/>
  <c r="P13"/>
  <c r="P14"/>
  <c r="F14" s="1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G8" s="1"/>
  <c r="G48" i="193"/>
  <c r="I9" i="194"/>
  <c r="D9"/>
  <c r="E9"/>
  <c r="F9"/>
  <c r="G9"/>
  <c r="G10"/>
  <c r="D10"/>
  <c r="F11"/>
  <c r="G11"/>
  <c r="I11"/>
  <c r="D11"/>
  <c r="E11"/>
  <c r="D12"/>
  <c r="F12"/>
  <c r="I13"/>
  <c r="D13"/>
  <c r="E13"/>
  <c r="F13"/>
  <c r="G13"/>
  <c r="G14"/>
  <c r="D14"/>
  <c r="F15"/>
  <c r="G15"/>
  <c r="I15"/>
  <c r="D15"/>
  <c r="E15"/>
  <c r="E28"/>
  <c r="AF41" i="166"/>
  <c r="A3" i="195"/>
  <c r="H49" i="193"/>
  <c r="I49"/>
  <c r="J49"/>
  <c r="K49"/>
  <c r="E27" i="165"/>
  <c r="D27"/>
  <c r="B27"/>
  <c r="F27"/>
  <c r="H27"/>
  <c r="C27"/>
  <c r="A28"/>
  <c r="W21" i="195"/>
  <c r="W46"/>
  <c r="W39"/>
  <c r="W18"/>
  <c r="W45"/>
  <c r="W36"/>
  <c r="W23"/>
  <c r="W35"/>
  <c r="W31"/>
  <c r="W17"/>
  <c r="W8"/>
  <c r="W16"/>
  <c r="W30"/>
  <c r="W43"/>
  <c r="W42"/>
  <c r="W29"/>
  <c r="W14"/>
  <c r="W41"/>
  <c r="W32"/>
  <c r="W34"/>
  <c r="W22"/>
  <c r="W25"/>
  <c r="W12"/>
  <c r="W26"/>
  <c r="W11"/>
  <c r="W24"/>
  <c r="W27"/>
  <c r="W28"/>
  <c r="W10"/>
  <c r="W47"/>
  <c r="W40"/>
  <c r="W13"/>
  <c r="W37"/>
  <c r="W15"/>
  <c r="W44"/>
  <c r="W9"/>
  <c r="W33"/>
  <c r="W20"/>
  <c r="W19"/>
  <c r="W38"/>
  <c r="O32" i="164"/>
  <c r="P28" i="165"/>
  <c r="D32" i="164"/>
  <c r="AD26" i="165"/>
  <c r="Y32" i="164"/>
  <c r="R28" i="165"/>
  <c r="M32" i="164"/>
  <c r="C32"/>
  <c r="W28" i="165"/>
  <c r="T32" i="164"/>
  <c r="AC32"/>
  <c r="B32"/>
  <c r="I25" i="165"/>
  <c r="AQ22" i="164"/>
  <c r="X32"/>
  <c r="W32"/>
  <c r="F32"/>
  <c r="U28" i="165"/>
  <c r="T28"/>
  <c r="P32" i="164"/>
  <c r="O28" i="165"/>
  <c r="G32" i="164"/>
  <c r="AS32"/>
  <c r="Q32"/>
  <c r="N32"/>
  <c r="L27" i="165"/>
  <c r="H32" i="164"/>
  <c r="AI28" i="165"/>
  <c r="V32" i="164"/>
  <c r="AE28" i="165"/>
  <c r="AC28"/>
  <c r="V28"/>
  <c r="AA32" i="164"/>
  <c r="M28" i="165"/>
  <c r="U32" i="164"/>
  <c r="AJ28" i="165"/>
  <c r="I26" i="164"/>
  <c r="Q28" i="165"/>
  <c r="R32" i="164"/>
  <c r="E32"/>
  <c r="AM26"/>
  <c r="S32"/>
  <c r="L27"/>
  <c r="AI32"/>
  <c r="AH22" i="165"/>
  <c r="S28"/>
  <c r="AB32" i="164"/>
  <c r="AF28" i="165"/>
  <c r="Z32" i="164"/>
  <c r="I8" i="194" l="1"/>
  <c r="E8"/>
  <c r="F8"/>
  <c r="G49" i="193"/>
  <c r="O49"/>
  <c r="N49"/>
  <c r="M49"/>
  <c r="D8" i="194"/>
  <c r="D28"/>
  <c r="E14"/>
  <c r="I14"/>
  <c r="G12"/>
  <c r="E12"/>
  <c r="E10"/>
  <c r="I10"/>
  <c r="I48" s="1"/>
  <c r="N32" i="165"/>
  <c r="A33" i="164"/>
  <c r="AM25" i="165"/>
  <c r="P9" i="195"/>
  <c r="F9" s="1"/>
  <c r="P10"/>
  <c r="I10" s="1"/>
  <c r="P11"/>
  <c r="D11" s="1"/>
  <c r="P12"/>
  <c r="F12" s="1"/>
  <c r="P13"/>
  <c r="F13" s="1"/>
  <c r="P14"/>
  <c r="I14" s="1"/>
  <c r="P15"/>
  <c r="D15" s="1"/>
  <c r="P16"/>
  <c r="P17"/>
  <c r="P18"/>
  <c r="P19"/>
  <c r="P20"/>
  <c r="P21"/>
  <c r="P22"/>
  <c r="P23"/>
  <c r="P24"/>
  <c r="P25"/>
  <c r="P26"/>
  <c r="P27"/>
  <c r="P28"/>
  <c r="D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/>
  <c r="D8" s="1"/>
  <c r="G48" i="194"/>
  <c r="G9" i="195"/>
  <c r="D9"/>
  <c r="D10"/>
  <c r="F10"/>
  <c r="I11"/>
  <c r="E11"/>
  <c r="G11"/>
  <c r="G12"/>
  <c r="D12"/>
  <c r="G13"/>
  <c r="D13"/>
  <c r="D14"/>
  <c r="F14"/>
  <c r="I15"/>
  <c r="E15"/>
  <c r="G15"/>
  <c r="I28"/>
  <c r="AG41" i="166"/>
  <c r="A3" i="196"/>
  <c r="N49" i="194"/>
  <c r="J49"/>
  <c r="O49"/>
  <c r="K49"/>
  <c r="G49"/>
  <c r="L49"/>
  <c r="H49"/>
  <c r="M49"/>
  <c r="I49"/>
  <c r="C28" i="165"/>
  <c r="D28"/>
  <c r="F28"/>
  <c r="E28"/>
  <c r="B28"/>
  <c r="H28"/>
  <c r="A29"/>
  <c r="W29" i="196"/>
  <c r="W26"/>
  <c r="W44"/>
  <c r="W34"/>
  <c r="W21"/>
  <c r="W20"/>
  <c r="W25"/>
  <c r="W30"/>
  <c r="W10"/>
  <c r="W14"/>
  <c r="W23"/>
  <c r="W12"/>
  <c r="W43"/>
  <c r="W9"/>
  <c r="W31"/>
  <c r="W28"/>
  <c r="W11"/>
  <c r="W24"/>
  <c r="W45"/>
  <c r="W27"/>
  <c r="W33"/>
  <c r="W42"/>
  <c r="W17"/>
  <c r="W16"/>
  <c r="W18"/>
  <c r="W39"/>
  <c r="W38"/>
  <c r="W15"/>
  <c r="W22"/>
  <c r="W37"/>
  <c r="W36"/>
  <c r="W13"/>
  <c r="W47"/>
  <c r="W46"/>
  <c r="W32"/>
  <c r="W19"/>
  <c r="W40"/>
  <c r="W41"/>
  <c r="W35"/>
  <c r="W8"/>
  <c r="W33" i="164"/>
  <c r="AC33"/>
  <c r="W29" i="165"/>
  <c r="D33" i="164"/>
  <c r="AS33"/>
  <c r="AA33"/>
  <c r="AJ29" i="165"/>
  <c r="AI33" i="164"/>
  <c r="F33"/>
  <c r="Y33"/>
  <c r="C33"/>
  <c r="S29" i="165"/>
  <c r="I26"/>
  <c r="P33" i="164"/>
  <c r="U33"/>
  <c r="P29" i="165"/>
  <c r="AI29"/>
  <c r="O29"/>
  <c r="AE29"/>
  <c r="Q33" i="164"/>
  <c r="G33"/>
  <c r="AN23"/>
  <c r="S33"/>
  <c r="L28"/>
  <c r="T29" i="165"/>
  <c r="N33" i="164"/>
  <c r="X33"/>
  <c r="L28" i="165"/>
  <c r="I27" i="164"/>
  <c r="T33"/>
  <c r="M33"/>
  <c r="AF29" i="165"/>
  <c r="E33" i="164"/>
  <c r="AG26" i="165"/>
  <c r="Q29"/>
  <c r="R33" i="164"/>
  <c r="AK22" i="165"/>
  <c r="Z33" i="164"/>
  <c r="V29" i="165"/>
  <c r="O33" i="164"/>
  <c r="M29" i="165"/>
  <c r="H33" i="164"/>
  <c r="AB33"/>
  <c r="V33"/>
  <c r="B33"/>
  <c r="U29" i="165"/>
  <c r="AC29"/>
  <c r="R29"/>
  <c r="E8" i="195" l="1"/>
  <c r="G8"/>
  <c r="I8"/>
  <c r="F15"/>
  <c r="E13"/>
  <c r="I13"/>
  <c r="F11"/>
  <c r="E9"/>
  <c r="I9"/>
  <c r="F8"/>
  <c r="E28"/>
  <c r="G14"/>
  <c r="E14"/>
  <c r="E12"/>
  <c r="I12"/>
  <c r="G10"/>
  <c r="E10"/>
  <c r="AM26" i="165"/>
  <c r="N33"/>
  <c r="A34" i="164"/>
  <c r="AJ27"/>
  <c r="P9" i="196"/>
  <c r="P10"/>
  <c r="G10" s="1"/>
  <c r="P11"/>
  <c r="P12"/>
  <c r="D12" s="1"/>
  <c r="P13"/>
  <c r="P14"/>
  <c r="G14" s="1"/>
  <c r="P15"/>
  <c r="P16"/>
  <c r="P17"/>
  <c r="P18"/>
  <c r="P19"/>
  <c r="P20"/>
  <c r="P21"/>
  <c r="P22"/>
  <c r="P23"/>
  <c r="P24"/>
  <c r="P25"/>
  <c r="P26"/>
  <c r="P27"/>
  <c r="P28"/>
  <c r="E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I48" i="195"/>
  <c r="P8" i="196"/>
  <c r="G48" i="195"/>
  <c r="I9" i="196"/>
  <c r="D9"/>
  <c r="E9"/>
  <c r="F9"/>
  <c r="G9"/>
  <c r="F10"/>
  <c r="I10"/>
  <c r="E10"/>
  <c r="F11"/>
  <c r="G11"/>
  <c r="I11"/>
  <c r="D11"/>
  <c r="E11"/>
  <c r="I12"/>
  <c r="E12"/>
  <c r="G12"/>
  <c r="I13"/>
  <c r="D13"/>
  <c r="E13"/>
  <c r="F13"/>
  <c r="G13"/>
  <c r="F14"/>
  <c r="I14"/>
  <c r="E14"/>
  <c r="F15"/>
  <c r="G15"/>
  <c r="I15"/>
  <c r="D15"/>
  <c r="E15"/>
  <c r="I28"/>
  <c r="D28"/>
  <c r="F8"/>
  <c r="G8"/>
  <c r="I8"/>
  <c r="D8"/>
  <c r="E8"/>
  <c r="AH41" i="166"/>
  <c r="A3" i="198" s="1"/>
  <c r="A3" i="197"/>
  <c r="L49" i="195"/>
  <c r="H49"/>
  <c r="M49"/>
  <c r="I49"/>
  <c r="N49"/>
  <c r="J49"/>
  <c r="O49"/>
  <c r="K49"/>
  <c r="G49"/>
  <c r="F29" i="165"/>
  <c r="E29"/>
  <c r="H29"/>
  <c r="C29"/>
  <c r="B29"/>
  <c r="D29"/>
  <c r="A30"/>
  <c r="W9" i="197"/>
  <c r="W46" i="198"/>
  <c r="W45" i="197"/>
  <c r="W41"/>
  <c r="W41" i="198"/>
  <c r="W32" i="197"/>
  <c r="W40" i="198"/>
  <c r="W9"/>
  <c r="W35" i="197"/>
  <c r="W29" i="198"/>
  <c r="W36" i="197"/>
  <c r="W17" i="198"/>
  <c r="W30" i="197"/>
  <c r="W42" i="198"/>
  <c r="W39"/>
  <c r="W45"/>
  <c r="W11"/>
  <c r="W39" i="197"/>
  <c r="W26"/>
  <c r="W40"/>
  <c r="W23" i="198"/>
  <c r="W25" i="197"/>
  <c r="W18" i="198"/>
  <c r="W13" i="197"/>
  <c r="W22"/>
  <c r="W20" i="198"/>
  <c r="W19" i="197"/>
  <c r="W46"/>
  <c r="W44" i="198"/>
  <c r="W34" i="197"/>
  <c r="W18"/>
  <c r="W10"/>
  <c r="W8"/>
  <c r="W8" i="198"/>
  <c r="W16"/>
  <c r="W47" i="197"/>
  <c r="W28"/>
  <c r="W38" i="198"/>
  <c r="W14"/>
  <c r="W35"/>
  <c r="W37"/>
  <c r="W22"/>
  <c r="W32"/>
  <c r="W16" i="197"/>
  <c r="W31"/>
  <c r="W26" i="198"/>
  <c r="W27"/>
  <c r="W21" i="197"/>
  <c r="W17"/>
  <c r="W34" i="198"/>
  <c r="W37" i="197"/>
  <c r="W33"/>
  <c r="W23"/>
  <c r="W25" i="198"/>
  <c r="W19"/>
  <c r="W42" i="197"/>
  <c r="W12" i="198"/>
  <c r="W12" i="197"/>
  <c r="W24"/>
  <c r="W15" i="198"/>
  <c r="W29" i="197"/>
  <c r="W20"/>
  <c r="W38"/>
  <c r="W31" i="198"/>
  <c r="W44" i="197"/>
  <c r="W43"/>
  <c r="W47" i="198"/>
  <c r="W43"/>
  <c r="W14" i="197"/>
  <c r="W13" i="198"/>
  <c r="W33"/>
  <c r="W36"/>
  <c r="W21"/>
  <c r="W30"/>
  <c r="W27" i="197"/>
  <c r="W11"/>
  <c r="W15"/>
  <c r="W28" i="198"/>
  <c r="W24"/>
  <c r="W10"/>
  <c r="AB34" i="164"/>
  <c r="D34"/>
  <c r="F34"/>
  <c r="M30" i="165"/>
  <c r="X34" i="164"/>
  <c r="AH23" i="165"/>
  <c r="V30"/>
  <c r="AI34" i="164"/>
  <c r="T34"/>
  <c r="I28"/>
  <c r="V34"/>
  <c r="S30" i="165"/>
  <c r="W30"/>
  <c r="AS34" i="164"/>
  <c r="O34"/>
  <c r="AJ30" i="165"/>
  <c r="AC30"/>
  <c r="Z34" i="164"/>
  <c r="S34"/>
  <c r="W34"/>
  <c r="R34"/>
  <c r="Q30" i="165"/>
  <c r="P34" i="164"/>
  <c r="AQ23"/>
  <c r="T30" i="165"/>
  <c r="AF30"/>
  <c r="AE30"/>
  <c r="P30"/>
  <c r="B34" i="164"/>
  <c r="AC34"/>
  <c r="AD27" i="165"/>
  <c r="AI30"/>
  <c r="U30"/>
  <c r="AA34" i="164"/>
  <c r="O30" i="165"/>
  <c r="I27"/>
  <c r="R30"/>
  <c r="C34" i="164"/>
  <c r="G34"/>
  <c r="M34"/>
  <c r="AM27"/>
  <c r="N34"/>
  <c r="E34"/>
  <c r="L29"/>
  <c r="U34"/>
  <c r="Y34"/>
  <c r="Q34"/>
  <c r="L29" i="165"/>
  <c r="H34" i="164"/>
  <c r="D14" i="196" l="1"/>
  <c r="F12"/>
  <c r="D10"/>
  <c r="J49" s="1"/>
  <c r="N34" i="165"/>
  <c r="A35" i="164"/>
  <c r="AM27" i="165"/>
  <c r="AM28"/>
  <c r="I48" i="196"/>
  <c r="P9" i="197"/>
  <c r="F9" s="1"/>
  <c r="P10"/>
  <c r="P11"/>
  <c r="I11" s="1"/>
  <c r="P12"/>
  <c r="P13"/>
  <c r="F13" s="1"/>
  <c r="P14"/>
  <c r="P15"/>
  <c r="I15" s="1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9" i="198"/>
  <c r="P10"/>
  <c r="I10" s="1"/>
  <c r="P11"/>
  <c r="P12"/>
  <c r="I12" s="1"/>
  <c r="P13"/>
  <c r="P14"/>
  <c r="I14" s="1"/>
  <c r="P15"/>
  <c r="P16"/>
  <c r="P17"/>
  <c r="P18"/>
  <c r="P19"/>
  <c r="P20"/>
  <c r="P21"/>
  <c r="P22"/>
  <c r="P23"/>
  <c r="P24"/>
  <c r="P25"/>
  <c r="P26"/>
  <c r="P27"/>
  <c r="P28"/>
  <c r="I28" s="1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8" i="197"/>
  <c r="I8" s="1"/>
  <c r="P8" i="198"/>
  <c r="F8" s="1"/>
  <c r="G48" i="196"/>
  <c r="D9" i="197"/>
  <c r="I10"/>
  <c r="D10"/>
  <c r="E10"/>
  <c r="F10"/>
  <c r="G10"/>
  <c r="D11"/>
  <c r="F12"/>
  <c r="G12"/>
  <c r="I12"/>
  <c r="D12"/>
  <c r="E12"/>
  <c r="D13"/>
  <c r="I14"/>
  <c r="D14"/>
  <c r="E14"/>
  <c r="F14"/>
  <c r="G14"/>
  <c r="D15"/>
  <c r="D28"/>
  <c r="I28"/>
  <c r="E28"/>
  <c r="F9" i="198"/>
  <c r="G9"/>
  <c r="I9"/>
  <c r="D9"/>
  <c r="E9"/>
  <c r="F10"/>
  <c r="F11"/>
  <c r="G11"/>
  <c r="I11"/>
  <c r="D11"/>
  <c r="E11"/>
  <c r="D12"/>
  <c r="F13"/>
  <c r="G13"/>
  <c r="I13"/>
  <c r="D13"/>
  <c r="E13"/>
  <c r="F15"/>
  <c r="G15"/>
  <c r="I15"/>
  <c r="D15"/>
  <c r="E15"/>
  <c r="G8"/>
  <c r="N49" i="196"/>
  <c r="O49"/>
  <c r="G49"/>
  <c r="H49"/>
  <c r="I49"/>
  <c r="E30" i="165"/>
  <c r="H30"/>
  <c r="C30"/>
  <c r="F30"/>
  <c r="D30"/>
  <c r="B30"/>
  <c r="A31"/>
  <c r="H35" i="164"/>
  <c r="M35"/>
  <c r="V35"/>
  <c r="G35"/>
  <c r="Q35"/>
  <c r="E35"/>
  <c r="L30"/>
  <c r="AA35"/>
  <c r="N35"/>
  <c r="Y35"/>
  <c r="Z35"/>
  <c r="I28" i="165"/>
  <c r="O35" i="164"/>
  <c r="T35"/>
  <c r="AE31" i="165"/>
  <c r="AI35" i="164"/>
  <c r="P31" i="165"/>
  <c r="AK23"/>
  <c r="D35" i="164"/>
  <c r="P35"/>
  <c r="AC31" i="165"/>
  <c r="R31"/>
  <c r="L30"/>
  <c r="W35" i="164"/>
  <c r="AC35"/>
  <c r="AJ31" i="165"/>
  <c r="C35" i="164"/>
  <c r="V31" i="165"/>
  <c r="Q31"/>
  <c r="W31"/>
  <c r="AN24" i="164"/>
  <c r="U35"/>
  <c r="I29"/>
  <c r="R35"/>
  <c r="AI31" i="165"/>
  <c r="S31"/>
  <c r="M31"/>
  <c r="AS35" i="164"/>
  <c r="X35"/>
  <c r="AG27" i="165"/>
  <c r="B35" i="164"/>
  <c r="AB35"/>
  <c r="T31" i="165"/>
  <c r="AF31"/>
  <c r="U31"/>
  <c r="S35" i="164"/>
  <c r="O31" i="165"/>
  <c r="F35" i="164"/>
  <c r="M49" i="196" l="1"/>
  <c r="L49"/>
  <c r="K49"/>
  <c r="D14" i="198"/>
  <c r="F12"/>
  <c r="D10"/>
  <c r="F8" i="197"/>
  <c r="F15"/>
  <c r="G13"/>
  <c r="F11"/>
  <c r="G9"/>
  <c r="D8" i="198"/>
  <c r="E28"/>
  <c r="F14"/>
  <c r="D8" i="197"/>
  <c r="E8" i="198"/>
  <c r="I8"/>
  <c r="D28"/>
  <c r="G14"/>
  <c r="E14"/>
  <c r="G12"/>
  <c r="E12"/>
  <c r="G10"/>
  <c r="E10"/>
  <c r="G8" i="197"/>
  <c r="E8"/>
  <c r="G15"/>
  <c r="E15"/>
  <c r="E13"/>
  <c r="I13"/>
  <c r="G11"/>
  <c r="E11"/>
  <c r="E9"/>
  <c r="I9"/>
  <c r="I48" s="1"/>
  <c r="N35" i="165"/>
  <c r="A36" i="164"/>
  <c r="AM29" i="165"/>
  <c r="AJ28" i="164"/>
  <c r="U14" i="200"/>
  <c r="D14" s="1"/>
  <c r="W14"/>
  <c r="F14" s="1"/>
  <c r="U13"/>
  <c r="D13" s="1"/>
  <c r="W12"/>
  <c r="F12" s="1"/>
  <c r="U10"/>
  <c r="D10" s="1"/>
  <c r="W10"/>
  <c r="F10" s="1"/>
  <c r="U9"/>
  <c r="D9" s="1"/>
  <c r="U8"/>
  <c r="D8" s="1"/>
  <c r="U15"/>
  <c r="D15" s="1"/>
  <c r="W15"/>
  <c r="F15" s="1"/>
  <c r="W13"/>
  <c r="F13" s="1"/>
  <c r="U12"/>
  <c r="D12" s="1"/>
  <c r="U11"/>
  <c r="D11" s="1"/>
  <c r="W11"/>
  <c r="F11" s="1"/>
  <c r="W9"/>
  <c r="F9" s="1"/>
  <c r="W28"/>
  <c r="F28" s="1"/>
  <c r="I48" i="198"/>
  <c r="W8" i="200"/>
  <c r="F8" s="1"/>
  <c r="G48" i="198"/>
  <c r="G48" i="197"/>
  <c r="N49" i="198"/>
  <c r="J49"/>
  <c r="O49"/>
  <c r="K49"/>
  <c r="G49"/>
  <c r="L49"/>
  <c r="H49"/>
  <c r="M49"/>
  <c r="I49"/>
  <c r="L49" i="197"/>
  <c r="H49"/>
  <c r="M49"/>
  <c r="I49"/>
  <c r="W49" i="200" s="1"/>
  <c r="F49" s="1"/>
  <c r="N49" i="197"/>
  <c r="J49"/>
  <c r="O49"/>
  <c r="K49"/>
  <c r="G49"/>
  <c r="U49" i="200" s="1"/>
  <c r="D49" s="1"/>
  <c r="D31" i="165"/>
  <c r="F31"/>
  <c r="H31"/>
  <c r="B31"/>
  <c r="E31"/>
  <c r="C31"/>
  <c r="A32"/>
  <c r="F36" i="164"/>
  <c r="W36"/>
  <c r="L31"/>
  <c r="B36"/>
  <c r="Q32" i="165"/>
  <c r="AA36" i="164"/>
  <c r="V32" i="165"/>
  <c r="T32"/>
  <c r="U32"/>
  <c r="AB36" i="164"/>
  <c r="D36"/>
  <c r="N36"/>
  <c r="Q36"/>
  <c r="U36"/>
  <c r="M32" i="165"/>
  <c r="C36" i="164"/>
  <c r="AM28"/>
  <c r="Y36"/>
  <c r="H36"/>
  <c r="AI32" i="165"/>
  <c r="O32"/>
  <c r="AI36" i="164"/>
  <c r="W32" i="165"/>
  <c r="R36" i="164"/>
  <c r="R32" i="165"/>
  <c r="S36" i="164"/>
  <c r="Z36"/>
  <c r="T36"/>
  <c r="AQ24"/>
  <c r="M36"/>
  <c r="X36"/>
  <c r="L31" i="165"/>
  <c r="P32"/>
  <c r="AS36" i="164"/>
  <c r="I29" i="165"/>
  <c r="AF32"/>
  <c r="P36" i="164"/>
  <c r="S32" i="165"/>
  <c r="I30" i="164"/>
  <c r="AC36"/>
  <c r="AC32" i="165"/>
  <c r="AH24"/>
  <c r="AE32"/>
  <c r="V36" i="164"/>
  <c r="AD28" i="165"/>
  <c r="G36" i="164"/>
  <c r="E36"/>
  <c r="AJ32" i="165"/>
  <c r="O36" i="164"/>
  <c r="Y49" i="200" l="1"/>
  <c r="H49" s="1"/>
  <c r="N36" i="165"/>
  <c r="A37" i="164"/>
  <c r="AC49" i="200"/>
  <c r="L49" s="1"/>
  <c r="AB49"/>
  <c r="K49" s="1"/>
  <c r="AA49"/>
  <c r="J49" s="1"/>
  <c r="Z49"/>
  <c r="I49" s="1"/>
  <c r="U48"/>
  <c r="D48" s="1"/>
  <c r="X49"/>
  <c r="G49" s="1"/>
  <c r="V49"/>
  <c r="E49" s="1"/>
  <c r="W48"/>
  <c r="F48" s="1"/>
  <c r="B32" i="165"/>
  <c r="D32"/>
  <c r="E32"/>
  <c r="F32"/>
  <c r="H32"/>
  <c r="C32"/>
  <c r="A33"/>
  <c r="B37" i="164"/>
  <c r="Z37"/>
  <c r="AJ33" i="165"/>
  <c r="U37" i="164"/>
  <c r="S37"/>
  <c r="AI33" i="165"/>
  <c r="Q37" i="164"/>
  <c r="H37"/>
  <c r="AG28" i="165"/>
  <c r="AN25" i="164"/>
  <c r="T33" i="165"/>
  <c r="O37" i="164"/>
  <c r="I30" i="165"/>
  <c r="AB37" i="164"/>
  <c r="G37"/>
  <c r="M37"/>
  <c r="T37"/>
  <c r="AF33" i="165"/>
  <c r="AC33"/>
  <c r="AK24"/>
  <c r="W37" i="164"/>
  <c r="R37"/>
  <c r="D37"/>
  <c r="AI37"/>
  <c r="AA37"/>
  <c r="S33" i="165"/>
  <c r="O33"/>
  <c r="V37" i="164"/>
  <c r="AC37"/>
  <c r="AE33" i="165"/>
  <c r="V33"/>
  <c r="U33"/>
  <c r="C37" i="164"/>
  <c r="Y37"/>
  <c r="Q33" i="165"/>
  <c r="R33"/>
  <c r="M33"/>
  <c r="X37" i="164"/>
  <c r="F37"/>
  <c r="I31"/>
  <c r="W33" i="165"/>
  <c r="L32" i="164"/>
  <c r="N37"/>
  <c r="L32" i="165"/>
  <c r="AS37" i="164"/>
  <c r="E37"/>
  <c r="P33" i="165"/>
  <c r="P37" i="164"/>
  <c r="I44" i="165" l="1"/>
  <c r="N37"/>
  <c r="A38" i="164"/>
  <c r="AM30" i="165"/>
  <c r="AJ29" i="164"/>
  <c r="F33" i="165"/>
  <c r="D33"/>
  <c r="C33"/>
  <c r="B33"/>
  <c r="E33"/>
  <c r="H33"/>
  <c r="A34"/>
  <c r="AC34"/>
  <c r="X38" i="164"/>
  <c r="P38"/>
  <c r="E38"/>
  <c r="C38"/>
  <c r="Z38"/>
  <c r="M34" i="165"/>
  <c r="O34"/>
  <c r="S38" i="164"/>
  <c r="U38"/>
  <c r="AA38"/>
  <c r="N38"/>
  <c r="B38"/>
  <c r="D38"/>
  <c r="O38"/>
  <c r="W34" i="165"/>
  <c r="Y38" i="164"/>
  <c r="M38"/>
  <c r="H38"/>
  <c r="AB38"/>
  <c r="AD29" i="165"/>
  <c r="I32" i="164"/>
  <c r="T34" i="165"/>
  <c r="AS38" i="164"/>
  <c r="AE34" i="165"/>
  <c r="F38" i="164"/>
  <c r="R34" i="165"/>
  <c r="U34"/>
  <c r="Q34"/>
  <c r="AC38" i="164"/>
  <c r="V38"/>
  <c r="Q38"/>
  <c r="L33"/>
  <c r="AM29"/>
  <c r="AI38"/>
  <c r="I31" i="165"/>
  <c r="G38" i="164"/>
  <c r="T38"/>
  <c r="AF34" i="165"/>
  <c r="P34"/>
  <c r="R38" i="164"/>
  <c r="S34" i="165"/>
  <c r="W38" i="164"/>
  <c r="AQ25"/>
  <c r="AI34" i="165"/>
  <c r="V34"/>
  <c r="AH25"/>
  <c r="AJ34"/>
  <c r="L33"/>
  <c r="N38" l="1"/>
  <c r="A39" i="164"/>
  <c r="AM31" i="165"/>
  <c r="C34"/>
  <c r="F34"/>
  <c r="D34"/>
  <c r="H34"/>
  <c r="B34"/>
  <c r="E34"/>
  <c r="A35"/>
  <c r="F17" i="88"/>
  <c r="E15"/>
  <c r="D15"/>
  <c r="E17"/>
  <c r="D17"/>
  <c r="O39" i="164"/>
  <c r="O35" i="165"/>
  <c r="AJ35"/>
  <c r="F39" i="164"/>
  <c r="Q39"/>
  <c r="AF35" i="165"/>
  <c r="L34"/>
  <c r="C39" i="164"/>
  <c r="T35" i="165"/>
  <c r="AI35"/>
  <c r="S35"/>
  <c r="N39" i="164"/>
  <c r="I32" i="165"/>
  <c r="P35"/>
  <c r="V39" i="164"/>
  <c r="S39"/>
  <c r="R35" i="165"/>
  <c r="AK25"/>
  <c r="AG29"/>
  <c r="W35"/>
  <c r="H39" i="164"/>
  <c r="E39"/>
  <c r="M39"/>
  <c r="AB39"/>
  <c r="V35" i="165"/>
  <c r="L34" i="164"/>
  <c r="AI39"/>
  <c r="AE35" i="165"/>
  <c r="U35"/>
  <c r="W39" i="164"/>
  <c r="B39"/>
  <c r="G39"/>
  <c r="T39"/>
  <c r="P39"/>
  <c r="Q35" i="165"/>
  <c r="U39" i="164"/>
  <c r="AS39"/>
  <c r="AN26"/>
  <c r="R39"/>
  <c r="AC39"/>
  <c r="I33"/>
  <c r="X39"/>
  <c r="AA39"/>
  <c r="D39"/>
  <c r="AC35" i="165"/>
  <c r="M35"/>
  <c r="Y39" i="164"/>
  <c r="Z39"/>
  <c r="N39" i="165" l="1"/>
  <c r="A40" i="164"/>
  <c r="AM32" i="165"/>
  <c r="AJ30" i="164"/>
  <c r="G17" i="88"/>
  <c r="F14"/>
  <c r="F13"/>
  <c r="D35" i="165"/>
  <c r="B35"/>
  <c r="H35"/>
  <c r="C35"/>
  <c r="F35"/>
  <c r="E35"/>
  <c r="G14" i="88"/>
  <c r="A36" i="165"/>
  <c r="F11" i="88"/>
  <c r="G13"/>
  <c r="E13"/>
  <c r="D13"/>
  <c r="E14"/>
  <c r="D14"/>
  <c r="D11"/>
  <c r="G15"/>
  <c r="F15"/>
  <c r="AS40" i="164"/>
  <c r="W40"/>
  <c r="M40"/>
  <c r="N40"/>
  <c r="W36" i="165"/>
  <c r="M36"/>
  <c r="AC36"/>
  <c r="R40" i="164"/>
  <c r="Q40"/>
  <c r="O40"/>
  <c r="AC40"/>
  <c r="S36" i="165"/>
  <c r="L35"/>
  <c r="V36"/>
  <c r="G40" i="164"/>
  <c r="U36" i="165"/>
  <c r="F40" i="164"/>
  <c r="AQ26"/>
  <c r="R36" i="165"/>
  <c r="AI36"/>
  <c r="I34" i="164"/>
  <c r="H40"/>
  <c r="Q36" i="165"/>
  <c r="AD30"/>
  <c r="AI40" i="164"/>
  <c r="L35"/>
  <c r="D40"/>
  <c r="B40"/>
  <c r="P36" i="165"/>
  <c r="O36"/>
  <c r="AJ36"/>
  <c r="U40" i="164"/>
  <c r="E40"/>
  <c r="T36" i="165"/>
  <c r="Y40" i="164"/>
  <c r="X40"/>
  <c r="I33" i="165"/>
  <c r="P40" i="164"/>
  <c r="AF36" i="165"/>
  <c r="T40" i="164"/>
  <c r="AA40"/>
  <c r="AM30"/>
  <c r="AH26" i="165"/>
  <c r="AE36"/>
  <c r="AB40" i="164"/>
  <c r="C40"/>
  <c r="V40"/>
  <c r="S40"/>
  <c r="Z40"/>
  <c r="AM33" i="165" l="1"/>
  <c r="N40"/>
  <c r="N41" s="1"/>
  <c r="D29" i="88"/>
  <c r="E36" i="165"/>
  <c r="F36"/>
  <c r="H36"/>
  <c r="D36"/>
  <c r="C36"/>
  <c r="B36"/>
  <c r="A37"/>
  <c r="E11" i="88"/>
  <c r="E29" s="1"/>
  <c r="G11"/>
  <c r="G29" s="1"/>
  <c r="F29"/>
  <c r="I35" i="164"/>
  <c r="AE37" i="165"/>
  <c r="AF37"/>
  <c r="L36"/>
  <c r="AC37"/>
  <c r="W37"/>
  <c r="S37"/>
  <c r="P37"/>
  <c r="AN27" i="164"/>
  <c r="O37" i="165"/>
  <c r="AJ37"/>
  <c r="Q37"/>
  <c r="M37"/>
  <c r="AG30"/>
  <c r="AK26"/>
  <c r="V37"/>
  <c r="I34"/>
  <c r="AI37"/>
  <c r="T37"/>
  <c r="L36" i="164"/>
  <c r="R37" i="165"/>
  <c r="U37"/>
  <c r="AM34" l="1"/>
  <c r="AJ31" i="164"/>
  <c r="F37" i="165"/>
  <c r="C37"/>
  <c r="H37"/>
  <c r="E37"/>
  <c r="D37"/>
  <c r="B37"/>
  <c r="A38"/>
  <c r="P38"/>
  <c r="O38"/>
  <c r="AC38"/>
  <c r="AJ38"/>
  <c r="U38"/>
  <c r="Q38"/>
  <c r="L37"/>
  <c r="S38"/>
  <c r="L37" i="164"/>
  <c r="AM31"/>
  <c r="AI38" i="165"/>
  <c r="AD31"/>
  <c r="I36" i="164"/>
  <c r="AF38" i="165"/>
  <c r="T38"/>
  <c r="R38"/>
  <c r="AE38"/>
  <c r="I35"/>
  <c r="AH27"/>
  <c r="W38"/>
  <c r="M38"/>
  <c r="AQ27" i="164"/>
  <c r="V38" i="165"/>
  <c r="AM35" l="1"/>
  <c r="C38"/>
  <c r="F38"/>
  <c r="B38"/>
  <c r="E38"/>
  <c r="D38"/>
  <c r="H38"/>
  <c r="A39"/>
  <c r="AE39"/>
  <c r="I37" i="164"/>
  <c r="R39" i="165"/>
  <c r="O39"/>
  <c r="L38" i="164"/>
  <c r="Q39" i="165"/>
  <c r="V39"/>
  <c r="AI39"/>
  <c r="W39"/>
  <c r="AF39"/>
  <c r="P39"/>
  <c r="U39"/>
  <c r="AG31"/>
  <c r="AK27"/>
  <c r="S39"/>
  <c r="M39"/>
  <c r="T39"/>
  <c r="AJ39"/>
  <c r="I36"/>
  <c r="L38"/>
  <c r="AN28" i="164"/>
  <c r="AC39" i="165"/>
  <c r="AM36" l="1"/>
  <c r="AJ32" i="164"/>
  <c r="B39" i="165"/>
  <c r="E39"/>
  <c r="F39"/>
  <c r="C39"/>
  <c r="D39"/>
  <c r="H39"/>
  <c r="A40"/>
  <c r="G41" i="164"/>
  <c r="Q40" i="165"/>
  <c r="W40"/>
  <c r="M40"/>
  <c r="AM32" i="164"/>
  <c r="L39"/>
  <c r="S40" i="165"/>
  <c r="I37"/>
  <c r="I38" i="164"/>
  <c r="AE40" i="165"/>
  <c r="AJ40"/>
  <c r="P40"/>
  <c r="R40"/>
  <c r="AQ28" i="164"/>
  <c r="AF40" i="165"/>
  <c r="AC40"/>
  <c r="T40"/>
  <c r="L39"/>
  <c r="V40"/>
  <c r="U40"/>
  <c r="O40"/>
  <c r="AI40"/>
  <c r="AH28"/>
  <c r="AD32"/>
  <c r="M41" l="1"/>
  <c r="P41"/>
  <c r="O41"/>
  <c r="Q41"/>
  <c r="AF41"/>
  <c r="AE41"/>
  <c r="AI41"/>
  <c r="AJ41"/>
  <c r="R41"/>
  <c r="S41"/>
  <c r="T41"/>
  <c r="U41"/>
  <c r="V41"/>
  <c r="AC41"/>
  <c r="AM37"/>
  <c r="AC41" i="164"/>
  <c r="AI41"/>
  <c r="S41"/>
  <c r="T41"/>
  <c r="U41"/>
  <c r="AB41"/>
  <c r="F41"/>
  <c r="N41"/>
  <c r="P41"/>
  <c r="O41"/>
  <c r="M41"/>
  <c r="Q41"/>
  <c r="E41"/>
  <c r="V41"/>
  <c r="D41"/>
  <c r="C41"/>
  <c r="R41"/>
  <c r="F40" i="165"/>
  <c r="F41" s="1"/>
  <c r="B40"/>
  <c r="B41" s="1"/>
  <c r="E40"/>
  <c r="E41" s="1"/>
  <c r="D40"/>
  <c r="D41" s="1"/>
  <c r="H40"/>
  <c r="H41" s="1"/>
  <c r="C40"/>
  <c r="C41" s="1"/>
  <c r="W41"/>
  <c r="H41" i="164"/>
  <c r="B41"/>
  <c r="AG32" i="165"/>
  <c r="L40" i="164"/>
  <c r="L40" i="165"/>
  <c r="AK28"/>
  <c r="I39" i="164"/>
  <c r="I38" i="165"/>
  <c r="AN29" i="164"/>
  <c r="L41" i="165" l="1"/>
  <c r="AM38"/>
  <c r="AJ33" i="164"/>
  <c r="Z41"/>
  <c r="X41"/>
  <c r="W41"/>
  <c r="Y41"/>
  <c r="AA41"/>
  <c r="L41"/>
  <c r="AH29" i="165"/>
  <c r="AM33" i="164"/>
  <c r="AQ29"/>
  <c r="AD33" i="165"/>
  <c r="I39"/>
  <c r="I40" i="164"/>
  <c r="AM39" i="165" l="1"/>
  <c r="I41" i="164"/>
  <c r="AS41" s="1"/>
  <c r="AN30"/>
  <c r="AG33" i="165"/>
  <c r="AK29"/>
  <c r="I40"/>
  <c r="AM40" l="1"/>
  <c r="AJ34" i="164"/>
  <c r="I41" i="165"/>
  <c r="AM41" s="1"/>
  <c r="AQ30" i="164"/>
  <c r="AK30" i="165"/>
  <c r="AD34"/>
  <c r="AM34" i="164"/>
  <c r="AH30" i="165"/>
  <c r="AJ35" i="164" l="1"/>
  <c r="AG34" i="165"/>
  <c r="AD35"/>
  <c r="AN31" i="164"/>
  <c r="AM35"/>
  <c r="AJ36" l="1"/>
  <c r="AD36" i="165"/>
  <c r="AQ31" i="164"/>
  <c r="AG35" i="165"/>
  <c r="AM36" i="164"/>
  <c r="AH31" i="165"/>
  <c r="AJ37" i="164" l="1"/>
  <c r="AN32"/>
  <c r="AK31" i="165"/>
  <c r="AM37" i="164"/>
  <c r="AH32" i="165"/>
  <c r="AG36"/>
  <c r="AD37"/>
  <c r="AJ38" i="164" l="1"/>
  <c r="AQ32"/>
  <c r="AD38" i="165"/>
  <c r="AM38" i="164"/>
  <c r="AG37" i="165"/>
  <c r="AK32"/>
  <c r="AJ39" i="164" l="1"/>
  <c r="AN33"/>
  <c r="AG38" i="165"/>
  <c r="AM39" i="164"/>
  <c r="AD39" i="165"/>
  <c r="AH33"/>
  <c r="AJ40" i="164" l="1"/>
  <c r="AQ33"/>
  <c r="AM40"/>
  <c r="AG39" i="165"/>
  <c r="AK33"/>
  <c r="AD40"/>
  <c r="AM41" i="164" l="1"/>
  <c r="AJ41"/>
  <c r="AD41" i="165"/>
  <c r="AN34" i="164"/>
  <c r="AG40" i="165"/>
  <c r="AG41" l="1"/>
  <c r="AH34"/>
  <c r="AQ34" i="164"/>
  <c r="AK34" i="165" s="1"/>
  <c r="AN35" i="164"/>
  <c r="AH35" i="165"/>
  <c r="AQ35" i="164"/>
  <c r="AK35" i="165"/>
  <c r="AN36" i="164"/>
  <c r="AQ36"/>
  <c r="AH36" i="165"/>
  <c r="AK36"/>
  <c r="AN37" i="164"/>
  <c r="AQ37"/>
  <c r="AH37" i="165"/>
  <c r="AK37"/>
  <c r="AN38" i="164"/>
  <c r="AQ38"/>
  <c r="AH38" i="165"/>
  <c r="AK38"/>
  <c r="AN39" i="164"/>
  <c r="AQ39"/>
  <c r="AH39" i="165"/>
  <c r="AN40" i="164"/>
  <c r="AK39" i="165"/>
  <c r="AQ40" i="164"/>
  <c r="AK40" i="165" s="1"/>
  <c r="AH40"/>
  <c r="AN41" i="164" l="1"/>
  <c r="AK41" i="165"/>
  <c r="AQ41" i="164"/>
  <c r="AH41" i="165"/>
</calcChain>
</file>

<file path=xl/sharedStrings.xml><?xml version="1.0" encoding="utf-8"?>
<sst xmlns="http://schemas.openxmlformats.org/spreadsheetml/2006/main" count="8838" uniqueCount="2077">
  <si>
    <t>Зварних стиків</t>
  </si>
  <si>
    <t>РОБОТА</t>
  </si>
  <si>
    <t>Перегін, станція</t>
  </si>
  <si>
    <t>Тип дефектоскопу</t>
  </si>
  <si>
    <t>№ дефектоскопу</t>
  </si>
  <si>
    <t>колія</t>
  </si>
  <si>
    <t>КМ колії</t>
  </si>
  <si>
    <t>Початок роботи</t>
  </si>
  <si>
    <t>Кінець роботи</t>
  </si>
  <si>
    <t>тривалість</t>
  </si>
  <si>
    <t>план</t>
  </si>
  <si>
    <t>факт</t>
  </si>
  <si>
    <t xml:space="preserve"> Робота за даними ПК АРМ моніторингу</t>
  </si>
  <si>
    <t>№ п/п</t>
  </si>
  <si>
    <t>РДМ-22</t>
  </si>
  <si>
    <t>РДМ-1</t>
  </si>
  <si>
    <t>РДМ-2</t>
  </si>
  <si>
    <t>№ попередження</t>
  </si>
  <si>
    <t>Перевірено км  колії</t>
  </si>
  <si>
    <t xml:space="preserve"> Порушення</t>
  </si>
  <si>
    <t xml:space="preserve">  Коментарі</t>
  </si>
  <si>
    <t xml:space="preserve">  Примітки майстра</t>
  </si>
  <si>
    <t>Фактичний час роботи дефектоскопа на колії</t>
  </si>
  <si>
    <t>Час роботи згідно попередження на перегоні/станції</t>
  </si>
  <si>
    <t>Поиск-10Э</t>
  </si>
  <si>
    <t>Стрілочних переводів</t>
  </si>
  <si>
    <t>Примітка:</t>
  </si>
  <si>
    <t>(технічне заняття - ТЗ, технічне обслуговування - ТО, ремонт, резерв, погодні умови та ін.)</t>
  </si>
  <si>
    <t xml:space="preserve">1. В стовпці 20 записуються причини не виконання плану перевірки або причини по яких дефектоскоп не працював </t>
  </si>
  <si>
    <t>2. Дані в звіті повинні співпадати з DEF ZVIT, а також з формами щомісячного звіту Д-3, Д-6, Д-8, Д-9</t>
  </si>
  <si>
    <t>Всього:</t>
  </si>
  <si>
    <t xml:space="preserve">  Примітка</t>
  </si>
  <si>
    <t>Пооб’єктний звіт</t>
  </si>
  <si>
    <t>Щоденний зведений звіт</t>
  </si>
  <si>
    <t>3. ЗАБОРОНЯЄТЬСЯ змінювати структурну таблиці!</t>
  </si>
  <si>
    <t>Вик. : Бадюк М.О</t>
  </si>
  <si>
    <t>Тел.: 8-27-24</t>
  </si>
  <si>
    <t>УДС2-73</t>
  </si>
  <si>
    <t>РДМ-1М1</t>
  </si>
  <si>
    <t>РДМ-3</t>
  </si>
  <si>
    <t>Рельс-6</t>
  </si>
  <si>
    <t>УРДО-3</t>
  </si>
  <si>
    <t>РДМ-33</t>
  </si>
  <si>
    <t>неп</t>
  </si>
  <si>
    <t>пар</t>
  </si>
  <si>
    <t>Канатове - Трепівка</t>
  </si>
  <si>
    <t>пар/неп</t>
  </si>
  <si>
    <t>одн</t>
  </si>
  <si>
    <t>Чорноліська - БП Західний</t>
  </si>
  <si>
    <t>ОП 309 км - Пантаївка</t>
  </si>
  <si>
    <t>Роз'їзд 5 км - Сахарна</t>
  </si>
  <si>
    <t>РДМ-24</t>
  </si>
  <si>
    <t>про роботу засобів рейкової Знам'янської дефектоскопії  колії за</t>
  </si>
  <si>
    <t>про роботу засобів рейкової дефектоскопії Знам'янської дистанції колії за</t>
  </si>
  <si>
    <t>Т.О.</t>
  </si>
  <si>
    <t>Трепівка - Чорноліська</t>
  </si>
  <si>
    <t>Роз'їзд 5 км - ОП 309 км</t>
  </si>
  <si>
    <t>Трепівка - Канатове</t>
  </si>
  <si>
    <t>сер</t>
  </si>
  <si>
    <t>Чорноліська - Цибулеве</t>
  </si>
  <si>
    <t>Чорноліська - Знам'янка</t>
  </si>
  <si>
    <t>Канатове - Кропивницький</t>
  </si>
  <si>
    <t>Чорноліська - Трепівка</t>
  </si>
  <si>
    <t>Кропивницький - Канатове</t>
  </si>
  <si>
    <t>Пантаївка - ОП 309 км</t>
  </si>
  <si>
    <t>ст Чорноліська</t>
  </si>
  <si>
    <t>ст. Чорноліська</t>
  </si>
  <si>
    <t>Знам'янка - Чорноліська</t>
  </si>
  <si>
    <t>2,3,4,5</t>
  </si>
  <si>
    <t>2,3,5,6,7</t>
  </si>
  <si>
    <t>Парк відправлення</t>
  </si>
  <si>
    <t>8,9,10,11,12</t>
  </si>
  <si>
    <t>6,7,10,11</t>
  </si>
  <si>
    <t>1,3,6,7,8,9</t>
  </si>
  <si>
    <t>3,5Б,6,7,7А</t>
  </si>
  <si>
    <t>8,9,10,11</t>
  </si>
  <si>
    <t>Ввод  дати  работи  дефектоскопних  засобів  ПЧ-10  по  дільницям</t>
  </si>
  <si>
    <t>г.</t>
  </si>
  <si>
    <t>Работа  с</t>
  </si>
  <si>
    <t xml:space="preserve">   утра ( 5 или 8 )</t>
  </si>
  <si>
    <t>Операторы</t>
  </si>
  <si>
    <t>Полєжай П.В.</t>
  </si>
  <si>
    <t>Калашніков С. А.</t>
  </si>
  <si>
    <t>Дільниці</t>
  </si>
  <si>
    <t>РДМ-24 №110</t>
  </si>
  <si>
    <t>РДМ-22 №192</t>
  </si>
  <si>
    <t>РДМ-22 №820</t>
  </si>
  <si>
    <t>РДМ-22 №1359</t>
  </si>
  <si>
    <t>РДМ-2 №1027</t>
  </si>
  <si>
    <t>РДМ-2 №1031</t>
  </si>
  <si>
    <t>РДМ-2 №2713</t>
  </si>
  <si>
    <t>км</t>
  </si>
  <si>
    <t>стр.
пер.</t>
  </si>
  <si>
    <t>стр.
пер.
п/в</t>
  </si>
  <si>
    <t>Перегін  (станція)</t>
  </si>
  <si>
    <t>Номера
колій</t>
  </si>
  <si>
    <t>КМ, ПК  від і до включно</t>
  </si>
  <si>
    <t>Номера стрілочних переводів
і з’їздів</t>
  </si>
  <si>
    <t>Час роботи (5-14)</t>
  </si>
  <si>
    <t>Знам'янка пас. - ОП 309 км 304-309 неп</t>
  </si>
  <si>
    <t>непарна</t>
  </si>
  <si>
    <t>304 - 309</t>
  </si>
  <si>
    <t>Знам пас 7, 5, 1</t>
  </si>
  <si>
    <t>8:00 - 16:00</t>
  </si>
  <si>
    <t>5:00 - 14:00</t>
  </si>
  <si>
    <t xml:space="preserve"> </t>
  </si>
  <si>
    <t>9:00 - 16:00</t>
  </si>
  <si>
    <t>ОП 309 км - Пантаївка 310-314пк2 неп</t>
  </si>
  <si>
    <t>310 - 314 пк2</t>
  </si>
  <si>
    <t>ОП 5</t>
  </si>
  <si>
    <t>ОП 309 км - Пантаївка неп 314пк3-317-314пк3 пар</t>
  </si>
  <si>
    <t>314 пк3 - 317      317 - 314 пк3</t>
  </si>
  <si>
    <t>Пантаївка - ОП 309 км 314пк2-310 пар</t>
  </si>
  <si>
    <t>парна</t>
  </si>
  <si>
    <t>314 пк2 - 310</t>
  </si>
  <si>
    <t>ОП 7, 9</t>
  </si>
  <si>
    <t>ОП 309 км - Знам'янка пас. 309-304 пар</t>
  </si>
  <si>
    <t>309 - 304</t>
  </si>
  <si>
    <t>Знам пас 35, 3, 39, 60</t>
  </si>
  <si>
    <t>Знам'янка - Знам'янка пас 299-303 неп</t>
  </si>
  <si>
    <t>Знам'янка - Знам'янка пас</t>
  </si>
  <si>
    <t>299 - 303</t>
  </si>
  <si>
    <t>Знам 46, 36, 230, 232, 124, 164, 149, 135, 129 Знам пас 2, 10, 12, 16, 18</t>
  </si>
  <si>
    <t>Знам'янка пас - Знам'янка 303-299 пар</t>
  </si>
  <si>
    <t>303 - 299</t>
  </si>
  <si>
    <t>Знам пас 20, 4 Знам 225, 259, 257/263, 332, 324, 310, 30, 28</t>
  </si>
  <si>
    <t>Знам'янка - Знам'янка пас 337-341 сер</t>
  </si>
  <si>
    <t>337 - 341</t>
  </si>
  <si>
    <t>Знам пас 20, 14, 6, 8 Знам 103, 105,  131, 133, 139, 137,  145, 112, 122, 234,  236, 246, 34, 32, 8</t>
  </si>
  <si>
    <t>Знам'янка - Чорноліська 299пк7-293пк6 пар</t>
  </si>
  <si>
    <t>299 пк7 - 293 пк6</t>
  </si>
  <si>
    <t>БП Західний 6</t>
  </si>
  <si>
    <t>Чорноліська - Знам'янка 293пк6-298 неп</t>
  </si>
  <si>
    <t>293 пк6 - 298</t>
  </si>
  <si>
    <t>БП Західний 2 Знам 4</t>
  </si>
  <si>
    <t>Знам'янка - Чорноліська 336-331пк6 сер</t>
  </si>
  <si>
    <t>336 - 331 пк6</t>
  </si>
  <si>
    <t>БП Західний 3, 4 Знам 6</t>
  </si>
  <si>
    <t>Знам'янка - Чорноліська 331пк5-328 сер</t>
  </si>
  <si>
    <t>331 пк5 - 328</t>
  </si>
  <si>
    <t>Чорноліська 1,15,43,31,25</t>
  </si>
  <si>
    <t>Чорноліська - Знам'янка 328-331пк5 сер</t>
  </si>
  <si>
    <t>328 - 331 пк5</t>
  </si>
  <si>
    <t>Чорноліська - Знам'янка 331пк6-336 сер</t>
  </si>
  <si>
    <t>331 пк6 - 336</t>
  </si>
  <si>
    <t>Чорноліська - Цибулево 289-287-289 пар/неп</t>
  </si>
  <si>
    <t>289 - 287       287 - 289</t>
  </si>
  <si>
    <t>Чорноліська 30-28, 18, 16, 10, 8, 40, 44</t>
  </si>
  <si>
    <t>Чорноліська - БП Західний 290-293пк5-290 неп/пар</t>
  </si>
  <si>
    <t>290 - 293 пк5  293 пк5 - 290</t>
  </si>
  <si>
    <t>Чорноліська 33, 29, 17, 13, 3, 5, 27, 35</t>
  </si>
  <si>
    <t>Трепівка - Чорноліська 314-320пк7 неп</t>
  </si>
  <si>
    <t>314 - 320 пк7</t>
  </si>
  <si>
    <t>Трепівка 11, 3</t>
  </si>
  <si>
    <t>Трепівка - Чорноліська 314-320пк7 неп з 4 колією</t>
  </si>
  <si>
    <t>Трепівка 1-3, 11, 15</t>
  </si>
  <si>
    <t>Трепівка - Чорноліська 320пк8-327 неп</t>
  </si>
  <si>
    <t>320 пк8 - 327</t>
  </si>
  <si>
    <t>Чорноліська 4, 12, 14</t>
  </si>
  <si>
    <t>Чорноліська - Трепівка 327-320пк8 пар</t>
  </si>
  <si>
    <t>327 - 320 пк8</t>
  </si>
  <si>
    <t>Чорноліська 30, 22, 20, 2</t>
  </si>
  <si>
    <t>Чорноліська - Трепівка 320пк7-314 пар</t>
  </si>
  <si>
    <t>320 пк7 - 314</t>
  </si>
  <si>
    <t>Трепівка 1</t>
  </si>
  <si>
    <t>Трепівка - Канатове 313-307 пар</t>
  </si>
  <si>
    <t>313 - 307</t>
  </si>
  <si>
    <t>Трепівка 10, 2</t>
  </si>
  <si>
    <t>Трепівка - Канатове 313-307 пар з 4 колією</t>
  </si>
  <si>
    <t>Трепівка 10, 14, 16, 2-4</t>
  </si>
  <si>
    <t>Трепівка - Канатове 306-302пк4 пар</t>
  </si>
  <si>
    <t>306 -302 пк4</t>
  </si>
  <si>
    <t>Канатове 1</t>
  </si>
  <si>
    <t>Канатове - Кропивницький 302пк6-293пк6 пар</t>
  </si>
  <si>
    <t>302 пк3 - 293 пк6</t>
  </si>
  <si>
    <t>Канатове 7, 9, 23, 16, 18, 10, 8, 4</t>
  </si>
  <si>
    <t>Канатове - Кропивницький 293пк5-291-293пк5 пар/неп</t>
  </si>
  <si>
    <t>293 пк5 - 291    291 - 293 пк5</t>
  </si>
  <si>
    <t>Кропивницький - Канатове 293пк6-302пк5 неп</t>
  </si>
  <si>
    <t>293 пк6 - 302 пк5</t>
  </si>
  <si>
    <t>Канатове 6, 12, 14, 25, 5, 3</t>
  </si>
  <si>
    <t>Канатове - Трепівка 302пк6-306 неп</t>
  </si>
  <si>
    <t>302 пк6 - 306</t>
  </si>
  <si>
    <t>Канатове - Трепівка 307-313 неп</t>
  </si>
  <si>
    <t>307 - 313</t>
  </si>
  <si>
    <t>Трепівка 4, 14</t>
  </si>
  <si>
    <t>Обвідна Роз'їзд 5 км - ОП 309 км 1-9пк2</t>
  </si>
  <si>
    <t>1 - 9 пк2</t>
  </si>
  <si>
    <t>Роз'їзд 17, 29, 35, 29</t>
  </si>
  <si>
    <t>Обвідна Роз'їзд 5 км - ОП 309 км 9пк3-16</t>
  </si>
  <si>
    <t>9 пк3 - 16</t>
  </si>
  <si>
    <t>ОП 9</t>
  </si>
  <si>
    <t>Роз'їзд 5 км - Сахарна 4пк9-11 одн з 2 колією</t>
  </si>
  <si>
    <t>4 пк9 - 11</t>
  </si>
  <si>
    <t>Роз'їзд 19, 31, 33  Сахарна 1, 3, 24, 22, 20</t>
  </si>
  <si>
    <t>Роз'їзд 5 км - Сахарна 4пк9-11 одн з 3 колією</t>
  </si>
  <si>
    <t>Роз'їзд 19, 31, 33,  Сахарна 1, 3, 5, 24, 22, 14</t>
  </si>
  <si>
    <t>Роз'їзд 5 км - Сахарна 4пк9-11 одн з 4 колією</t>
  </si>
  <si>
    <t>Роз'їзд 19, 31, 33, Сахарна 1, 5, 7, 16, 14, 8-6</t>
  </si>
  <si>
    <t>Роз'їзд 5 км - Сахарна 4пк9-11 одн з 5 колією</t>
  </si>
  <si>
    <t>Роз'їзд 19, 31, 33, Сахарна 1, 7, 9, 18, 16</t>
  </si>
  <si>
    <t>6:00 - 15:00</t>
  </si>
  <si>
    <t>Сахарна - Медерове 12-20 одн</t>
  </si>
  <si>
    <t>Сахарна - Медерове</t>
  </si>
  <si>
    <t>12 - 20</t>
  </si>
  <si>
    <t>Сахарна 2, 6</t>
  </si>
  <si>
    <t>Медерове - Шарівка 21-23 одн з 2 та 3 колією</t>
  </si>
  <si>
    <t>Медерове - Шарівка</t>
  </si>
  <si>
    <t>21 - 23</t>
  </si>
  <si>
    <t>Медерове 1, 3, 4, 2</t>
  </si>
  <si>
    <t>Сахарна - Шарівка 12-23 одн</t>
  </si>
  <si>
    <t>Сахарна - Шарівка</t>
  </si>
  <si>
    <t>12 - 23</t>
  </si>
  <si>
    <t>Сахарна 2, 6 Медерове 1, 3, 4, 2</t>
  </si>
  <si>
    <t>ст Знам'янка пас</t>
  </si>
  <si>
    <t>Знам'янка пас 30, 56, 27, 17, 13, 32-34, 42, 17-15, 9-7, 5-3, 26, 24, 32, 38, 40, 19, 15, 1, 56, 54, 48, 58, 2, 58, 28, 30, 34, 42, 44, 8-10, 12, 22, 24</t>
  </si>
  <si>
    <t>Знам'янка пас 36-38, 40, 21, 19, 4-6, 14-16, 18, 26, 36, 46, 23, 21, 64, 45, 43, 41-39, 60-62, 64, 45, 43, 41, 37, 47, 33</t>
  </si>
  <si>
    <t>Чорноліьска 28, 43, 31-29, 9, 37, 10-12, 14-16, 18-20, 22, 24, 32, 45, 39, 37-35, 27-25, 15-13,  32, 34, 41-39,  41, 11, 9, 7-5, 3-1</t>
  </si>
  <si>
    <t>Чорноліська 34, 36, 11, 40, 33, 44, 46, 19, 17, 21</t>
  </si>
  <si>
    <t>Кременчуцький парк</t>
  </si>
  <si>
    <t>Крем парк 332-334, 346, 267, 261, 255, 241/237, 235-239, 229, 350, 328, 330, 352, 271, 249/245, 247, 269, 326, 83, 312, 251, 243, 231, 227-225</t>
  </si>
  <si>
    <t>Кременчуцький парк (Західна горловина)</t>
  </si>
  <si>
    <t>Крем парк 356, 253, 243, 350, 28, 40, 50, 302, 308, 328, 334, 40-42, 48-50, 300-302, 308-310, 56, 60, 300, 304, 312, 326, 330</t>
  </si>
  <si>
    <t>Фастовський парк</t>
  </si>
  <si>
    <t>Фастовський парк 96, 166, 184, 155, 149, 122-124,164-166, 112, 145, 126, 153, 136, 148, 129-131, 135-137, 139-141, 147, 143, 141, 123, 133, 123-ГП4-113/117, 152, 182</t>
  </si>
  <si>
    <t>Парк відправлення |</t>
  </si>
  <si>
    <t>Парк відправлення 256, 252, 56, 48, 42, 74, 68, 54, 14, 18, 12-14, 18-32, 34-36, 228, 46, 52, 226, 338, 230, 232-236, 8-10, 12, 20/22, 62, 242, 244, 246, 4-6</t>
  </si>
  <si>
    <t>Парк відправлення ||</t>
  </si>
  <si>
    <t>Парк відправлення 62, 242, 244, 260, 266, 100, 64, 54, 250, 264, 262, 120, 70, 248, 68, 256, 258</t>
  </si>
  <si>
    <t>Роз'їзд 5 км, Гілки 2, 3, 4, 5</t>
  </si>
  <si>
    <t>Роз'їзд 5 км - БП Західний - Знам'янка</t>
  </si>
  <si>
    <t xml:space="preserve">БП Західний 2-4, 3, 1, 6         Роз'їзд 11, 15, 13, 7, 5, 19  Знам'янка 18,  26, 30                     </t>
  </si>
  <si>
    <t>ст. Канатове</t>
  </si>
  <si>
    <t>Канатове 10-12, 14, 25, 6-8, 16, 23, 1-3, 5-7, 9, 11, 17, 24, 22, 20-18</t>
  </si>
  <si>
    <t>Зовная-Северск, 458-454(І)</t>
  </si>
  <si>
    <t>Зовна – Сіверськ</t>
  </si>
  <si>
    <t>458-454</t>
  </si>
  <si>
    <t>Зов.:   5,  1.</t>
  </si>
  <si>
    <t>Зовная-Северск, 453-449(І)</t>
  </si>
  <si>
    <t>453-449</t>
  </si>
  <si>
    <t>Сів.:   6, 40, 46, 37;   6 / 8.</t>
  </si>
  <si>
    <t>Северск-Ямполь, 448-442(І)</t>
  </si>
  <si>
    <t>Сіверськ – Ямпіль</t>
  </si>
  <si>
    <t>448-442(10-4пк)</t>
  </si>
  <si>
    <t>Сів.:  23, 5, 1, 103;  21 / 23,
1 / 3, 103 / 105.</t>
  </si>
  <si>
    <t>Северск-Ямполь, 442-437(І)</t>
  </si>
  <si>
    <t>442(3-1пк)-437</t>
  </si>
  <si>
    <t>Ямп.:  22, 2, 6;  2 / 4.</t>
  </si>
  <si>
    <t>Северск-Ямполь, 442-434(І)</t>
  </si>
  <si>
    <t>442(3-1пк)-434(10-6пк)</t>
  </si>
  <si>
    <t>Ямп.:  22, 2, 6;   7, 17, 1, 13;
2 / 4,   1 / 3.</t>
  </si>
  <si>
    <t>Сев.-Ямп.,442-437(І)Ям.П.6</t>
  </si>
  <si>
    <t>Сіверськ – Ямпіль
ст. Ямпіль</t>
  </si>
  <si>
    <t>непарна
6</t>
  </si>
  <si>
    <t xml:space="preserve">442(3-1пк)-437
</t>
  </si>
  <si>
    <t xml:space="preserve">Ямп.:  22, 2, 6;  2 / 4
</t>
  </si>
  <si>
    <t>Ямп-Лим.436-434(І)Ям.П.3,4</t>
  </si>
  <si>
    <t>ст. Ямпіль
Ямпіль – Лиман</t>
  </si>
  <si>
    <t>3, 4
непарна</t>
  </si>
  <si>
    <t xml:space="preserve">
436-434(10-6пк)</t>
  </si>
  <si>
    <t>Ямп:  9, 10;   5 / 9;
Ямп.:  7, 17, 1, 13;  1 / 3,</t>
  </si>
  <si>
    <t>Ямп-Лим.436-434(І)Ям.П.(5)</t>
  </si>
  <si>
    <t>підхід 5
непарна</t>
  </si>
  <si>
    <t>Ямп: 24, 26, 28, 21, 19; 17 / 19,  22 / 24;  Ямп.: 7, 17, 1, 13;  1 / 3.</t>
  </si>
  <si>
    <t>Ямп-Лим.436-434(І)П.3,4,(5)</t>
  </si>
  <si>
    <t>3,4,підх.5
непарна</t>
  </si>
  <si>
    <t>Ямп: 7, 17, 1, 13, 9, 10, 24, 26, 28, 21, 19; 1/3, 5/9, 17/19, 22/24.</t>
  </si>
  <si>
    <t>ст.Ямполь,  П. 3,4, подх.5</t>
  </si>
  <si>
    <t>ст. Ямпіль</t>
  </si>
  <si>
    <t>3, 4, підхід 5</t>
  </si>
  <si>
    <t>Ямп: 9, 10, 24, 26, 28, 21, 19;
1 / 3, 5 / 9, 17 / 19, 22 / 24.</t>
  </si>
  <si>
    <t>Ямполь-Лиман, 436-434(І)</t>
  </si>
  <si>
    <t>Ямпіль – Лиман</t>
  </si>
  <si>
    <t>436-434(10-6пк)</t>
  </si>
  <si>
    <t>Ямп.:  7, 17, 1, 13;  1 / 3.</t>
  </si>
  <si>
    <t>Ямполь-Лиман, 434-426(І)</t>
  </si>
  <si>
    <t>434(5-1пк)-426</t>
  </si>
  <si>
    <t>Кр.Л.: 2, 467, 463, 455, 451, 437.</t>
  </si>
  <si>
    <t>Северск-Новозол.1-7(IV,ІІ,о)</t>
  </si>
  <si>
    <t>ст. Сіверськ
Сіверськ – Новозолотарівка</t>
  </si>
  <si>
    <t>4, парна/
однокол.</t>
  </si>
  <si>
    <t>0(6-10пк)-7</t>
  </si>
  <si>
    <t>Сів.:  49, 47, 43, 35, 41, 27, 25, 61, 59; 45/47, 33/35, 27/29, 59/61</t>
  </si>
  <si>
    <t>Северск-Новозолот.14-8(о)</t>
  </si>
  <si>
    <t>Сіверськ – Новозолотарівка</t>
  </si>
  <si>
    <t>однокол.</t>
  </si>
  <si>
    <t>14-8</t>
  </si>
  <si>
    <t>Северск-Новозол.15-18(о,III)</t>
  </si>
  <si>
    <t>Сіверськ – Новозолотарівка
ст. Новозолотарівка</t>
  </si>
  <si>
    <t>однокол.
III</t>
  </si>
  <si>
    <t>15-18</t>
  </si>
  <si>
    <t>Нов.: 2, 8, 10, 14, 19, 15, 11, 7, 5, 3, 63, 111;   5 / 7.</t>
  </si>
  <si>
    <t>Северск-Новозолот.8-11(о)</t>
  </si>
  <si>
    <t>8-11</t>
  </si>
  <si>
    <t>Северск-Новозол.12-15(о)</t>
  </si>
  <si>
    <t>12-15</t>
  </si>
  <si>
    <t>Сев-Нов16-18(о)Нов:1,2(4,5)</t>
  </si>
  <si>
    <t>Сіверськ – Новозолотарівка
ст.  Новозолотарівка</t>
  </si>
  <si>
    <t>однокол.
1, 2, під-хід 4, 5</t>
  </si>
  <si>
    <t xml:space="preserve">16-18
</t>
  </si>
  <si>
    <t>Нов.: 2, 8, 10, 14, 19, 15, 11, 7, 5, 3, 63, 111;  5 / 7;
21, 17, 12, 16, 13, 9;  1 / 13.</t>
  </si>
  <si>
    <t>ст.Новозол.,П.1,2, подх.4,5</t>
  </si>
  <si>
    <t>ст.  Новозолотарівка</t>
  </si>
  <si>
    <t>1, 2, під-хід 4, 5</t>
  </si>
  <si>
    <t>Нов.: 21, 17, 12, 16, 13, 9; 1 / 13</t>
  </si>
  <si>
    <t>ст.Новозол.,П.6,7,8,9,10,11</t>
  </si>
  <si>
    <t>6, 7, 8, 9, 10, 11</t>
  </si>
  <si>
    <t>31,4,6,18,22,24,26,28,33,29,27,30,32,39,37,35; 2/4, 4/6, 6/8, 18/22.</t>
  </si>
  <si>
    <t>Северск-Нырково, 3-6(о)</t>
  </si>
  <si>
    <t>Сіверськ – Ниркове</t>
  </si>
  <si>
    <t>3-6</t>
  </si>
  <si>
    <t>7:00 - 15:00</t>
  </si>
  <si>
    <t>Северск-Нырково, 7-13(о)</t>
  </si>
  <si>
    <t>7-13</t>
  </si>
  <si>
    <t>Северск-Нырково, 14-19(о)</t>
  </si>
  <si>
    <t>14-19</t>
  </si>
  <si>
    <t>Северск-Нырково, 20-25(о)</t>
  </si>
  <si>
    <t>одн.,III</t>
  </si>
  <si>
    <t>20-25</t>
  </si>
  <si>
    <t>Нир.: 1, 17, 25, 26, 14, 8, 2.</t>
  </si>
  <si>
    <t>П.1,2,4;Ныр.-Свет.25-28(о)</t>
  </si>
  <si>
    <t>Ниркове – Світланове
ст. Ниркове</t>
  </si>
  <si>
    <t>однокол.  1, 2, 4</t>
  </si>
  <si>
    <t xml:space="preserve">25-28
</t>
  </si>
  <si>
    <t>Нир.: 1, 17, 25, 26, 14, 8, 2;
Нир.: 20, 27, 7, 15, 24;    6 / 24,   24 / 26, 15 / 17, 1 / 7.</t>
  </si>
  <si>
    <t>ст.Нырково,П.1,2,4</t>
  </si>
  <si>
    <t>ст. Ниркове</t>
  </si>
  <si>
    <t>1, 2, 4</t>
  </si>
  <si>
    <t>Нир.: 20, 27, 7, 15, 24;    6 / 24,   24 / 26, 15 / 17, 1 / 7.</t>
  </si>
  <si>
    <t>Нырково-Камышев.,1-6(о)</t>
  </si>
  <si>
    <t>Ниркове-Комишуваха</t>
  </si>
  <si>
    <t>1-6</t>
  </si>
  <si>
    <t>Нир.:  6, 4;  6 / 8, 2 / 4.</t>
  </si>
  <si>
    <t>Нырк.-Свет.29-36(о)Св.П.1,2</t>
  </si>
  <si>
    <t>Ниркове – Світланове
ст. Світланове</t>
  </si>
  <si>
    <t>однокол.
1, 2</t>
  </si>
  <si>
    <t xml:space="preserve">29-36(1-4пк)
</t>
  </si>
  <si>
    <t>Світ.:  1, 5, 17;  15 / 17;
Світ.: 21, 24, 7,15, 19, 22, 18, 12;
19 / 21, 22 / 24, 5 / 7, 10 / 12.</t>
  </si>
  <si>
    <t>Свет.-Шип.36-44(о)Св.П.4,5</t>
  </si>
  <si>
    <t>ст. Світланове
Світланове – Шипилове</t>
  </si>
  <si>
    <t>4, 5
однокол.</t>
  </si>
  <si>
    <t>36(5-10пк)-
44(1-3пк)</t>
  </si>
  <si>
    <t>Світ.:  9, 20, 26;  16 / 20, 20 / 26;
Світ.:  10, 16.</t>
  </si>
  <si>
    <t>П.4,5,Свет.-Шип.36-45(о)П.1</t>
  </si>
  <si>
    <t>ст. Світланове
Світланове – Шипилове
ст. Шипилове</t>
  </si>
  <si>
    <t>4, 5
однокол.
1</t>
  </si>
  <si>
    <t>36(5-10пк)-
45(1-8пк)</t>
  </si>
  <si>
    <t>Світ.:  9, 20, 26; 16 / 20, 20 / 26;
Світ.:  16, 10;   Шип.:  2, 3, 1.</t>
  </si>
  <si>
    <t>Шип.-Сент.,44-52(о)Шип.П.1</t>
  </si>
  <si>
    <t>ст. Шипилове
Шипилове – Сентянівка</t>
  </si>
  <si>
    <t>1
однокол.</t>
  </si>
  <si>
    <t xml:space="preserve">
44(4-10пк)-52</t>
  </si>
  <si>
    <t>Шип.:   1, 3, 2</t>
  </si>
  <si>
    <t>Лиман-Брусин, 1-9 (ІІ)</t>
  </si>
  <si>
    <t>Лиман – Брусін</t>
  </si>
  <si>
    <t>1 (8-10пк)-
9 (1-8пк)</t>
  </si>
  <si>
    <t>Кр.Л.:  26, 24, 20, 18, 16, 10;
Бр.:  7, 9.</t>
  </si>
  <si>
    <t>Лиман-Брусин, 1-5 (ІІ)</t>
  </si>
  <si>
    <t>1 (8-10пк)-
5 (1-5пк).</t>
  </si>
  <si>
    <t>Кр.Л.:  26, 24, 20, 18, 16, 10</t>
  </si>
  <si>
    <t>Лиман-Брусин, 5-9 (ІІ)</t>
  </si>
  <si>
    <t>5 (6-10пк)-
9 (1-8пк).</t>
  </si>
  <si>
    <t>Бр.:  7, 9</t>
  </si>
  <si>
    <t>Лиман-Брус.5-9(ІІ),Бр.П.2,4</t>
  </si>
  <si>
    <t>Лиман – Брусін
ст. Брусін</t>
  </si>
  <si>
    <t>парна
2, 4</t>
  </si>
  <si>
    <t>5 (6-10пк)-
9 (1-8пк)</t>
  </si>
  <si>
    <t>Бр.:   7, 9;
Бр.:   11, 13, 4;  7 / 11, 11 / 13.</t>
  </si>
  <si>
    <t>Бр.П.2,4;Бр.-Прид.8-11(о,ІІ)</t>
  </si>
  <si>
    <t>ст. Брусін
Брусін – Придонецька</t>
  </si>
  <si>
    <t>2, 4
одн/парн</t>
  </si>
  <si>
    <t xml:space="preserve">
8 (4-10пк)-11</t>
  </si>
  <si>
    <t>Бр.:  11, 13, 4;   7 / 11, 11 / 13;
Бр.:  6, 2;    Пр.:  1, 3;  1 / 3.</t>
  </si>
  <si>
    <t>Брусин-Придонец.8-11(о,ІІ)</t>
  </si>
  <si>
    <t>Брусін – Придонецька</t>
  </si>
  <si>
    <t>одн/парн</t>
  </si>
  <si>
    <t>8 (4-10пк)-11</t>
  </si>
  <si>
    <t>Бр.:  6, 2;   Пр.:  1, 3;  1 / 3.</t>
  </si>
  <si>
    <t>Брус.-Пр.12-13(ІІ),ст.Пр.П.3</t>
  </si>
  <si>
    <t>Брусін – Придонецька
ст. Придонецька</t>
  </si>
  <si>
    <t>парна
3</t>
  </si>
  <si>
    <t xml:space="preserve">12-13
</t>
  </si>
  <si>
    <t>Пр.:  5, 13;   5 / 7;
Пр.: 11, 17, 14, 12;  9/11, 10/12.</t>
  </si>
  <si>
    <t>Брус.-Пр.12-13(ІІ),Пр.П.4,5</t>
  </si>
  <si>
    <t>парна
4, 5</t>
  </si>
  <si>
    <t>Пр.:  5, 13;   5 / 7;
Пр.:  15, 22;   13 / 15,  20 / 22.</t>
  </si>
  <si>
    <t>Брус.-Пр.12-13(ІІ);Пр.П.3,4,5</t>
  </si>
  <si>
    <t>парна
3, 4, 5</t>
  </si>
  <si>
    <t xml:space="preserve">   Пр.: 5, 13; 5/7;  12, 14, 17, 11, 15, 22; 10/12, 9/11, 13/15, 20/22.</t>
  </si>
  <si>
    <t>Брусин-Придонец.8-13(о,ІІ)</t>
  </si>
  <si>
    <t>8 (4-10пк)-13</t>
  </si>
  <si>
    <t>Бр.:  6, 2;    Пр.:  1, 3, 5, 13;
1 / 3,  5 / 7.</t>
  </si>
  <si>
    <t>ст.Придонецкая,  П: 3 ,4, 5</t>
  </si>
  <si>
    <t>ст. Придонецька</t>
  </si>
  <si>
    <t>3, 4, 5</t>
  </si>
  <si>
    <t>Пр.: 11, 17, 14, 12, 15, 22;  9 / 11, 10 / 12, 13 / 15, 20 / 22.</t>
  </si>
  <si>
    <t>Прид.-Слав.Кур., 14-17(ІІ-І)</t>
  </si>
  <si>
    <t>Придонецька – Слов.Курорт
Слов.Курорт – Придонецька</t>
  </si>
  <si>
    <t>парна
непарна</t>
  </si>
  <si>
    <t>14-17
17-14</t>
  </si>
  <si>
    <t>Пр.:  20, 18, 2;  16 / 18
Пр.:  4, 10, 16;  2 / 4.</t>
  </si>
  <si>
    <t>Придонец.-Брусин, 13-8(І,о)</t>
  </si>
  <si>
    <t>Придонецька – Брусін</t>
  </si>
  <si>
    <t>неп/одн</t>
  </si>
  <si>
    <t>13-8</t>
  </si>
  <si>
    <t>Пр.:  9, 7, 1;    Бр.:  2, 6</t>
  </si>
  <si>
    <t>Прид.-Брус.13-12(І),Пр.П.3</t>
  </si>
  <si>
    <t>ст. Придонецька
Придонецька – Брусін</t>
  </si>
  <si>
    <t>3
непарна</t>
  </si>
  <si>
    <t xml:space="preserve">
13-12</t>
  </si>
  <si>
    <t>Пр.:  12, 14, 17, 11; 10/12, 11/9;
Пр.:  9, 7.</t>
  </si>
  <si>
    <t>Прид.-Бр.13-12(І),Пр.П.4,5</t>
  </si>
  <si>
    <t>4, 5
непарна</t>
  </si>
  <si>
    <t>Пр.:  15, 22;  13 / 15,  20 / 22;
Пр.:   9, 7.</t>
  </si>
  <si>
    <t>Прид.-Бр.13-12(І),Пр.П.3,4,5</t>
  </si>
  <si>
    <t>3, 4, 5
непарна</t>
  </si>
  <si>
    <t>Пр.: 12, 14, 17, 11, 15, 22; 10/12, 9/11, 13/15, 20/22;   Пр.: 9, 7.</t>
  </si>
  <si>
    <t>Придонец.-Брусин, 11-8(І,о)</t>
  </si>
  <si>
    <t>11-8</t>
  </si>
  <si>
    <t>Пр.:  1;    Бр.:  2, 6 .</t>
  </si>
  <si>
    <t>Прид.-Бр.11-8(І,о);Бр.П.2,4</t>
  </si>
  <si>
    <t>Придонецька – Брусін
ст. Брусiн</t>
  </si>
  <si>
    <t>неп/одн
2, 4</t>
  </si>
  <si>
    <t xml:space="preserve">11-8
</t>
  </si>
  <si>
    <t>Пр.:  1;   Бр.:  2, 6;
Бр.:  11, 13, 4;  7 / 11, 11 / 13.</t>
  </si>
  <si>
    <t>ст.Брусин,  П. 2, 4</t>
  </si>
  <si>
    <t>ст. Брусін</t>
  </si>
  <si>
    <t>2, 4</t>
  </si>
  <si>
    <t>Бр.:  4, 11, 13;   7 / 11, 11 / 13.</t>
  </si>
  <si>
    <t>Брусин-Лиман, 7-1 (І)</t>
  </si>
  <si>
    <t>Брусін – Лиман</t>
  </si>
  <si>
    <t>7-1(10-7пк)</t>
  </si>
  <si>
    <t>Бр.: 5;  5 / 9;   Кр.Л.: 501, 465, 459, 449; 463 / 465, 449 / 451.</t>
  </si>
  <si>
    <t>Соль-Шевченко, 469-475(ІІ)</t>
  </si>
  <si>
    <t>Сіль – Шевченко</t>
  </si>
  <si>
    <t>469-475</t>
  </si>
  <si>
    <t>Сіль:  22, 16, 6, 4
Шев.:  23, 1, 11, 17;  1 / 3, 9 / 11.</t>
  </si>
  <si>
    <t>7:00 - 16:00</t>
  </si>
  <si>
    <t>Соль-Шевченко, 471-475(ІІ)</t>
  </si>
  <si>
    <t>471-475</t>
  </si>
  <si>
    <t>Шев.:  23, 1, 11, 17;  1 / 3, 9 / 11.</t>
  </si>
  <si>
    <t>ст.Шевченко,  П. 3, 4, 5, 7</t>
  </si>
  <si>
    <t>ст. Шевченко</t>
  </si>
  <si>
    <t>3, 4, 5, 7</t>
  </si>
  <si>
    <t>7, 13, 15, 21, 8;  5 / 7</t>
  </si>
  <si>
    <t>ст.Шевченко,  П. 3, 5</t>
  </si>
  <si>
    <t>3, 5</t>
  </si>
  <si>
    <t>ст.Шевченко,  П. 4, 7</t>
  </si>
  <si>
    <t>4, 7</t>
  </si>
  <si>
    <t>7, 13, 15, 21, 8;   5 / 7</t>
  </si>
  <si>
    <t>Шевчен.-Бахмут, 476-482(ІІ)</t>
  </si>
  <si>
    <t>Шевченко – Бахмут</t>
  </si>
  <si>
    <t>476-482</t>
  </si>
  <si>
    <t>Шев.:  10, 4;  Мал.:  6; 6 / 8</t>
  </si>
  <si>
    <t>Шевчен.-Малоил.476-479(ІІ)</t>
  </si>
  <si>
    <t>Шевченко–Малоільшевська</t>
  </si>
  <si>
    <t>476-479</t>
  </si>
  <si>
    <t>Шев.:  10, 4</t>
  </si>
  <si>
    <t>Малоил.-Бахмут, 480-484(ІІ)</t>
  </si>
  <si>
    <t>Малоільшевська – Бахмут</t>
  </si>
  <si>
    <t>480-484</t>
  </si>
  <si>
    <t>Мал.:  6;  6 / 8;
Бах.: 1, 7, 11, 25, 6, 4;  5 / 7</t>
  </si>
  <si>
    <t>ст.Бахмут,  П. 3, 4, 6, 6а</t>
  </si>
  <si>
    <t>ст. Бахмут</t>
  </si>
  <si>
    <t>3, 4, 6, 6а</t>
  </si>
  <si>
    <t>Бах.: 27, 23, 8, 37, 16, 12, 3, 15, 13, 17, 19, 21;  23 / 25, 6 / 8,        8 / 12, 1 / 3, 11 / 13, 21 / 23.</t>
  </si>
  <si>
    <t>ст.Бахмут,  П. 7, 8, 9</t>
  </si>
  <si>
    <t>7, 8, 9</t>
  </si>
  <si>
    <t>Бахм.:  33, 35, 53, 55, 57, 31;     35 / 37, 15 / 53</t>
  </si>
  <si>
    <t>ст.Бахмут, П.3,4,6,6а,7,8,9</t>
  </si>
  <si>
    <t>3, 4, 6, 6а,7, 8, 9</t>
  </si>
  <si>
    <t>Бах.: 27, 23, 8, 37, 16, 12, 3, 15, 13, 17, 19, 21, 33, 35, 53, 55, 57, 31;     23 / 25, 6 / 8, 8 / 12, 1 / 3, 11 / 13, 21 / 23, 35 / 37, 15 / 53.</t>
  </si>
  <si>
    <t>Бахмут-Курдюм.,485-489(ІІ)</t>
  </si>
  <si>
    <t>Бахмут – Курдюмівка</t>
  </si>
  <si>
    <t>485-489</t>
  </si>
  <si>
    <t>Бахмут-Курдюм.,483-489(ІІ)</t>
  </si>
  <si>
    <t>483-489</t>
  </si>
  <si>
    <t>Бах.:  1, 7, 11, 25, 6, 4;  5 / 7</t>
  </si>
  <si>
    <t>Бахмут-Курдюм.,490-493(ІІ)</t>
  </si>
  <si>
    <t>490-493</t>
  </si>
  <si>
    <t>Бахмут-Курдюм.,494-496(ІІ)</t>
  </si>
  <si>
    <t>494-496</t>
  </si>
  <si>
    <t>Бахмут-Курдюм.,497-499(ІІ)</t>
  </si>
  <si>
    <t>497-499</t>
  </si>
  <si>
    <t>Курд.:   3, 11;    1 / 3</t>
  </si>
  <si>
    <t>Бахмут-Курдюм.,494-499(ІІ)</t>
  </si>
  <si>
    <t>494-499</t>
  </si>
  <si>
    <t>ст.Курдюмовка,  П. 3, 4, 6</t>
  </si>
  <si>
    <t>ст. Курдюмівка</t>
  </si>
  <si>
    <t>3, 4, 6</t>
  </si>
  <si>
    <t>13, 14, 15, 27;   13 / 15</t>
  </si>
  <si>
    <t>Курд.-Майорск.,500-507(ІІ-І)</t>
  </si>
  <si>
    <t>Курдюмівка – Майорська</t>
  </si>
  <si>
    <t>500-507
507-500</t>
  </si>
  <si>
    <t>Курд.: 12, 8;  Май.: 1, 7, 11, 17,
9, 5, 3; 1/3, 5/7  Курд.: 6, 10; 6/8.</t>
  </si>
  <si>
    <t>Курд.-Майорск.,500-507(ІІ)</t>
  </si>
  <si>
    <t>500-507</t>
  </si>
  <si>
    <t>Курд.: 12, 8;   Май.: 1, 7, 11, 17;  1 / 3,  5 / 7.</t>
  </si>
  <si>
    <t>Майорск.-Курд.,507-500(І)</t>
  </si>
  <si>
    <t>Майорська – Курдюмівка</t>
  </si>
  <si>
    <t>507-500</t>
  </si>
  <si>
    <t>Май.: 9, 5, 3; Курд.: 6, 10;  6 / 8.</t>
  </si>
  <si>
    <t>ст.Майорская, 508(І,ІІ)П.3,6</t>
  </si>
  <si>
    <t>ст. Майорська</t>
  </si>
  <si>
    <t>I, II
3, 12</t>
  </si>
  <si>
    <t xml:space="preserve">508
</t>
  </si>
  <si>
    <t>Май.: 20, 10, 6, 4, 2, 8, 16; 2 / 4,
6 / 8;   18, 28, 13, 19, 36, 24;
16 / 18, 9 / 13, 11 / 19, 10 / 24.</t>
  </si>
  <si>
    <t>ст.Майорская,П.5,7,8,10,12</t>
  </si>
  <si>
    <t>5, 6, 7, 8, 10</t>
  </si>
  <si>
    <t xml:space="preserve">
</t>
  </si>
  <si>
    <t>Май.:  30, 32, 23, 15, 26, 25;
28 / 30, 30 / 32, 13 / 15.</t>
  </si>
  <si>
    <t>Курд.-Майорск.,500-508(ІІ)</t>
  </si>
  <si>
    <t>500-508</t>
  </si>
  <si>
    <t>Курд.: 12, 8;  Май.: 1, 7, 11, 17, 20, 10, 6, 4; 1 / 3, 5 / 7.</t>
  </si>
  <si>
    <t>Майорск.-Курд.,508-500(І)</t>
  </si>
  <si>
    <t>508-500</t>
  </si>
  <si>
    <t>Май.: 2, 8, 16, 9, 5, 3; 2 / 4, 6 / 8;
Курд.:  6, 10;  6 / 8.</t>
  </si>
  <si>
    <t>Курдюм.-Бахмут, 499-497(І)</t>
  </si>
  <si>
    <t>Курдюмівка – Бахмут</t>
  </si>
  <si>
    <t>499-497</t>
  </si>
  <si>
    <t>Курд.:    9, 1</t>
  </si>
  <si>
    <t>Курдюм.-Бахмут, 496-494(І)</t>
  </si>
  <si>
    <t>496-494</t>
  </si>
  <si>
    <t>Курдюм.-Бахмут, 499-494(І)</t>
  </si>
  <si>
    <t>499-494</t>
  </si>
  <si>
    <t>Курдюм.-Бахмут, 493-490(І)</t>
  </si>
  <si>
    <t>493-490</t>
  </si>
  <si>
    <t>Курдюм.-Бахмут, 489-483(І)</t>
  </si>
  <si>
    <t>489-483</t>
  </si>
  <si>
    <t>Бах..:   2, 10, 9, 5;  2 / 4</t>
  </si>
  <si>
    <t>Бах.:   2, 10, 9, 5;  2 / 4</t>
  </si>
  <si>
    <t>Курдюм.-Бахмут, 489-485(І)</t>
  </si>
  <si>
    <t>489-485</t>
  </si>
  <si>
    <t>Бахмут-Шевчен.,484-480(І)</t>
  </si>
  <si>
    <t>Бахмут – Шевченко</t>
  </si>
  <si>
    <t>484-480</t>
  </si>
  <si>
    <t>Бахмут-Шевчен.,479-476(І)</t>
  </si>
  <si>
    <t>479-476</t>
  </si>
  <si>
    <t>Шев.:   2, 6, 12;   4 / 6</t>
  </si>
  <si>
    <t>Бахмут-Шевчен.,482-476(І)</t>
  </si>
  <si>
    <t>482-476</t>
  </si>
  <si>
    <t>Шевченко-Соль, 475-469(І)</t>
  </si>
  <si>
    <t>Шевченко – Сіль</t>
  </si>
  <si>
    <t>475-469</t>
  </si>
  <si>
    <t>Шев.:   9, 5, 3;
Сіль:   2, 24;   2 / 4, 22 / 24.</t>
  </si>
  <si>
    <t>Шевченко-Соль, 475-471(І)</t>
  </si>
  <si>
    <t>475-471</t>
  </si>
  <si>
    <t>Шев.:   9, 5, 3</t>
  </si>
  <si>
    <t>Шевченко-Соль, 470-469(І,II)</t>
  </si>
  <si>
    <t>Шевченко – Сіль
Сіль – Шевченко</t>
  </si>
  <si>
    <t>непарна
парна</t>
  </si>
  <si>
    <t>470-469
469-470</t>
  </si>
  <si>
    <t>Сіль:   2, 24;   2 / 4, 22 / 24;
Сіль:   22, 16, 6, 4.</t>
  </si>
  <si>
    <t>ПЮО:П.22;ПЮС:75ап,75,59</t>
  </si>
  <si>
    <t>ст. Лиман:  Парк Південного  Відправлення, Парк  Південного Сортування,
Парк Південного Прибуття</t>
  </si>
  <si>
    <t>22, 75ап, 75, 59, 59а</t>
  </si>
  <si>
    <t>387, 385, 379, 377,375, 373, 307, 299, 295, 239, 285, 275, 269, 83, 81;   383/385, 299/301, 293/295, 285 / 287, 273 / 275, 269 / 271.</t>
  </si>
  <si>
    <t>ПЮП: 5сп; ПСО: П.38об,14</t>
  </si>
  <si>
    <t>ст.Лиман: ПаркПівден.Приб. і Парк Північ. Відправлення</t>
  </si>
  <si>
    <t>5СП;
38обв,14</t>
  </si>
  <si>
    <t>3,  5, 17, 15, 416, 414;
1 / 3,   412 / 416.</t>
  </si>
  <si>
    <t>ПСО:  П. 7, 8, 9, 68</t>
  </si>
  <si>
    <t>ст. Лиман:  Парк  Північного  Відправлення</t>
  </si>
  <si>
    <t>7, 8, 9, 68</t>
  </si>
  <si>
    <t>348,378,388,394,406,410,412,318 324,330,334,396,398,340,342,360 382,380,402,404;334/348,306/318 398/406,330/340,370/380,404/410</t>
  </si>
  <si>
    <t>ПСО:  П. 5, 7, 8, 9, 68</t>
  </si>
  <si>
    <t>5, 7, 8, 9, 68</t>
  </si>
  <si>
    <t>348,378,388,394,406,410,412,318 324,330,334,396,398,340,342,360 382,380,402,404,326,328,372; 334/348,306/318,398/406,330/340, 370/380,404/410,312/326</t>
  </si>
  <si>
    <t>ПСО: П.10,11;  ПСС: П.35</t>
  </si>
  <si>
    <t>ст.Лиман: Парк Північного Відправ., Парк Північ.Сорт.</t>
  </si>
  <si>
    <t>10, 11, 35</t>
  </si>
  <si>
    <t>362, 392, 306, 118, 116;
104 / 116.</t>
  </si>
  <si>
    <t>ПСП: П.4,83,84,84а,подх.5</t>
  </si>
  <si>
    <t>ст. Лиман:  Парк  Північного  Прибуття</t>
  </si>
  <si>
    <t>4, 83, 84, 84а, підхід 5</t>
  </si>
  <si>
    <t>441,44, 52, 64, 485, 381,108,114, 124,126,445,58,110,112,40,60;  441/443, 42/44, 52/54, 64/485, 485/381, 381/379, 114/124, 124/126, 126/128, 112/114, 58/60.</t>
  </si>
  <si>
    <t>ПСП: П.7,9,10,2надв,подх.8</t>
  </si>
  <si>
    <t>7, 9, 10,
2 надвиг,
підхід 8</t>
  </si>
  <si>
    <t>28, 38, 78, 76, 82, 84, 90, 96, 72, 74, 70, 88, 86, 104, 12, 14, 22, 30, 56; 84/86, 96/110, 74/76, 88/90, 2/12, 12/18, 12/14, 14/16.</t>
  </si>
  <si>
    <t>ПСП: П.11,12,13,14,34,36</t>
  </si>
  <si>
    <t>11,12,13, 14,34,36</t>
  </si>
  <si>
    <t>50, 62, 68, 32, 48, 34, 36, 46, 98, 106;    68 / 70,  34 / 36,  46 / 48.</t>
  </si>
  <si>
    <t>ПЮО: П. 21,24,25,27, І выт</t>
  </si>
  <si>
    <t>ст. Лиман:  Парк  Південного  Відправлення, Парк  Південного Сортування</t>
  </si>
  <si>
    <t>21, 24, 25, 27,
І витяжка</t>
  </si>
  <si>
    <t>429, 421, 367, 365, 411, 409, 359, 361, 333, 327, 315, 309, 305, 249, 243, 241;   429 / 431,  309 / 311, 303 / 305,  243 / 245.</t>
  </si>
  <si>
    <t>ПЮО: П. 29,31,34,37,11ход</t>
  </si>
  <si>
    <t>ст. Лиман:  Парк  Південного  Відправлення</t>
  </si>
  <si>
    <t>29, 31, 34, 37, 11ход</t>
  </si>
  <si>
    <t>413, 419, 417, 331, 393, 345, 343, 337, 317, 349, 389, 397, 399, 425, 427, 449, 459;       315 / 317,      425 / 427,   449 / 451.</t>
  </si>
  <si>
    <t>ПЮО: П.28,33, подх.30,32</t>
  </si>
  <si>
    <t>28,33,під-хід30,32.</t>
  </si>
  <si>
    <t>415, 391, 339</t>
  </si>
  <si>
    <t>ПЮО: П.35,39обв, подх.36</t>
  </si>
  <si>
    <t>35, 39, підх.36.</t>
  </si>
  <si>
    <t>347, 395, 8;   8 / 10</t>
  </si>
  <si>
    <t>ПЮО:28,33,35,39,(30,32,36)</t>
  </si>
  <si>
    <t>28,33,35, 39,підхід 30,32,36.</t>
  </si>
  <si>
    <t>415, 391, 339, 347, 395, 8;  8 / 10</t>
  </si>
  <si>
    <t>ПЮП: П. 2, 3, 4, 5</t>
  </si>
  <si>
    <t>ст. Лиман:  Парк  Південного  Прибуття</t>
  </si>
  <si>
    <t>2, 3, 4, 5</t>
  </si>
  <si>
    <t>51, 35, 53×57, 201, 69×79, 55, 37, 29х31, 21;    53х57 / 55,        29х31 / 19х27,  201 / 205.</t>
  </si>
  <si>
    <t>ПЮП: П. 6, 7, 8, 9</t>
  </si>
  <si>
    <t>6, 7, 8, 9</t>
  </si>
  <si>
    <t>205, 203, 63×67, 39, 33, 19х27, 61х65,41,59; 17/19х27, 81/69х79, 69х79 / 63х67,  63х67 / 61х65.</t>
  </si>
  <si>
    <t>ПЮП: П.5,6,7,8,подх2,3,4,9</t>
  </si>
  <si>
    <t>5, 6, 7, 8, підхід 2, 3, 4, 9</t>
  </si>
  <si>
    <t>51,35,53×57,201,69×79,55,37, 29х31,21,205,203,63×67,39,33, 19х27,61х65,41,59; 17/19х27, 81/ 69х79,69х79/63х67,63х67/61х65, 53х57/55, 29х31/19х27, 201/205.</t>
  </si>
  <si>
    <t>ПЮС: П. 50, 51, 60, ІІ-ІІІ выт.</t>
  </si>
  <si>
    <t>ст. Лиман:  Парк  Південного  Сортування</t>
  </si>
  <si>
    <t>50, 51, 60,
ІІ витяж., ІІІ витяж.</t>
  </si>
  <si>
    <t>85, 105, 113, 121, 167, 181, 185, 187х189, 191,203, 205, 207, 209, 213, 215, 155, 217,223, 247, 219, 221, 251, 323; 61х65/85, 85/105, 105/113, 213/215, 247/249, 217/219, 219/221, 221/251.</t>
  </si>
  <si>
    <t>ПСО:   П.  1, 2, 3</t>
  </si>
  <si>
    <t>ст. Лиман:  Парк Північного  Відправлення</t>
  </si>
  <si>
    <t>1, 2, 3</t>
  </si>
  <si>
    <t>354, 374, 364, 384, 400;
346 / 354,  394 / 400.</t>
  </si>
  <si>
    <t>ПСО:   П.  4, 5, 6</t>
  </si>
  <si>
    <t>4, 5, 6</t>
  </si>
  <si>
    <t>346, 356, 326, 328, 372, 314,
308, 302, 300, 310, 312; 312/326,  314 / 348,  314 / 324,  300 / 308,  302 / 308,  302 / 310,  308 / 314.</t>
  </si>
  <si>
    <t>ПСО:  П. 1, 2, 3, 4, 5, 6</t>
  </si>
  <si>
    <t>1, 2, 3,
4, 5, 6</t>
  </si>
  <si>
    <t>354,374,364,384,400,346,356,326
328,372,314,308,302,300,310,312
346 / 354,  394 / 400,  312 / 326,  314 / 348,  314 / 324,  300 / 308,  302 / 308,  302 / 310,  308 / 314.</t>
  </si>
  <si>
    <t>1, 3, 5, 7, 9, 23, 25, 4, 6, 8, 10, 12, 14, 16, 18</t>
  </si>
  <si>
    <t>ст. Чорноліська |</t>
  </si>
  <si>
    <t>1, 3, 5, 7, 9, 11, 13, 15, 17, 19, 21, 25, 27, 29, 31</t>
  </si>
  <si>
    <t>ст. Чорноліська ||</t>
  </si>
  <si>
    <t>33, 35, 37, 39, 41, 43, 45, 30, 32, 34,  36, 40, 44, 46, 48с</t>
  </si>
  <si>
    <t>ст. Чорноліська |||</t>
  </si>
  <si>
    <t>2, 4, 8, 10, 12, 14, 16, 18, 20, 22, 24, 28</t>
  </si>
  <si>
    <t>БП Західний</t>
  </si>
  <si>
    <t>1, 2, 3, 4, 6</t>
  </si>
  <si>
    <t>ст. Трепівка</t>
  </si>
  <si>
    <t>1, 3, 11, 15, 2, 4, 10, 14, 16</t>
  </si>
  <si>
    <t>Захід. фастівського парку</t>
  </si>
  <si>
    <t>Західна горловина Фастівського парку</t>
  </si>
  <si>
    <t>230, 232, 234, 236, 246, 112, 122, 124, 164, 226, 96, 166, 184</t>
  </si>
  <si>
    <t>Схід. фастівського парку</t>
  </si>
  <si>
    <t>Східна горловина Фастівського парку</t>
  </si>
  <si>
    <t>149, 145, 135, 137, 139, 133, 131,  129, 105, 151, 155, 153</t>
  </si>
  <si>
    <t>Західна горловина парку відправлення (ГК)</t>
  </si>
  <si>
    <t>4, 6, 8, 32, 34, 36, 46, 10, 12, 20, 22, 18, 52</t>
  </si>
  <si>
    <t>ст. Сахарна</t>
  </si>
  <si>
    <t>1, 3, 5, 7, 9, 11, 6, 8, 14, 16, 18, 20, 22, 24</t>
  </si>
  <si>
    <t>ст. Медерове</t>
  </si>
  <si>
    <t>1, 3, 2, 4</t>
  </si>
  <si>
    <t>Західна Крем. парку</t>
  </si>
  <si>
    <t>Західна горловина Кременчуцького парку (ГК)</t>
  </si>
  <si>
    <t>26, 28, 30, 310, 324, 332,  40, 50, 302, 308, 328, 334</t>
  </si>
  <si>
    <t>Східна Крем. парку</t>
  </si>
  <si>
    <t>Східна горловина Кременчуцького парку (ГК)</t>
  </si>
  <si>
    <t>257, 263, 259, 225, 227, 237, 241,  255, 261, ГП7, 253, 267, 243, 271</t>
  </si>
  <si>
    <t>Роз'їзд 5 км</t>
  </si>
  <si>
    <t>5, 7, 9, 11, 13, 15, 17, 19, 27, 29, 31, 33, 35</t>
  </si>
  <si>
    <t>Знам'янка пас.</t>
  </si>
  <si>
    <t>1, 3, 5, 7, 9, 13, 15, 17, 19,  21, 23, 27, 35, 39, 41</t>
  </si>
  <si>
    <t>43, 45, 30, 32, 34, 36, 38, 40, 42, 44, 46, 54, 56, 60, 62, 64</t>
  </si>
  <si>
    <t>2, 4,  6, 8, 10, 12, 14, 16, 18, 20, 22, 24, 26, 28, 48, 58</t>
  </si>
  <si>
    <t>ОП 309 км</t>
  </si>
  <si>
    <t>5, 7, 9</t>
  </si>
  <si>
    <t>Парк відправлення || 3 МІСЯЦІ</t>
  </si>
  <si>
    <t>62, 64, 70, 68, 74, 54, 42, 48, 56, 60, 300, 14</t>
  </si>
  <si>
    <t>Схід. Парку відправлення | 3 МІСЯЦІ</t>
  </si>
  <si>
    <t>Східна горловина парку відправлення (ПВК)</t>
  </si>
  <si>
    <t>304, 312, 280, 326, 330, 336, 348, 358, 354, 346, 350, 356, 352</t>
  </si>
  <si>
    <t>Схід. Парку відправлення || 3 МІСЯЦІ</t>
  </si>
  <si>
    <t>242, 244, 248, 250, 252, 256, 258, 260, 262, 264, 266, 98, 100, 104, 114</t>
  </si>
  <si>
    <t>Гірка 3 МІСЯЦІ</t>
  </si>
  <si>
    <t>Гірка</t>
  </si>
  <si>
    <t>107, 111, 113, 117, 109, 119, 23, 603, 607, 611, 613, 615, 617, 619</t>
  </si>
  <si>
    <t>605, 637, 639, 641, 645, 623, 649, 647, 625, 643, 635, 627, 633, 621</t>
  </si>
  <si>
    <t>83, 251, 245, 249, 247, 269, 235, 239, 229, 217, 215, 81, 631, 629</t>
  </si>
  <si>
    <t>Зах.фаст. 3 МІСЯЦІ</t>
  </si>
  <si>
    <t>Західна горловина Фастівського парку (ПВК)</t>
  </si>
  <si>
    <t>126, 136, 148, 152, 182, 170, 172, 106, 140, 142, 160, 138, 132, 118, 116,</t>
  </si>
  <si>
    <t>Схід. Фаст. (гірка) 3 МІСЯЦІ</t>
  </si>
  <si>
    <t>Східна горловина Фастівського парку (Гірка, ПВК)</t>
  </si>
  <si>
    <t>153, 147, 143, 141, 123, 105А, ГП-4, 609, 651, 655, 653, 659, 657</t>
  </si>
  <si>
    <t>ст. Канатове 3 МІСЯЦІ</t>
  </si>
  <si>
    <t>11, 17, 20, 22, 24, 2</t>
  </si>
  <si>
    <t>Северск,транз.,неч.,103-11</t>
  </si>
  <si>
    <t>ст. Сіверськ, транз. парк і непарна горловина</t>
  </si>
  <si>
    <t>103, 105, 107, 102, 104, 106, 79, 77, 59, 61, 25, 27, 41, 7, 11.</t>
  </si>
  <si>
    <t>ст.Северск, п/о,13-22</t>
  </si>
  <si>
    <t>ст. Сіверськ, приймально-відправні колії</t>
  </si>
  <si>
    <t>13, 39, 51, 55, 57, 56, 54, 52, 50, 48, 42, 22.</t>
  </si>
  <si>
    <t>ст.Новозолотаревка,9-111</t>
  </si>
  <si>
    <t>ст. Новозолотарівка, всі колії</t>
  </si>
  <si>
    <t>9, 12, 13, 16, 17, 21, 2, 8, 10, 14, 5, 11, 3, 63, 15, 7, 19, 111.</t>
  </si>
  <si>
    <t>ст.Зовная, все,1-10</t>
  </si>
  <si>
    <t>ст. Зовна, всі колії</t>
  </si>
  <si>
    <t>1, 3, 5, 7, 9, 2, 4, 6, 10.</t>
  </si>
  <si>
    <t>ст.Соль, главные,1-36</t>
  </si>
  <si>
    <t>ст. Сіль, головні колії</t>
  </si>
  <si>
    <t>1, 3, 5, 11, 21, 23, 2, 4, 6, 16, 22, 24, 32, 34, 36.</t>
  </si>
  <si>
    <t>ст.Соль, п/о,7-64</t>
  </si>
  <si>
    <t>ст. Сіль, приймально-відправні колії</t>
  </si>
  <si>
    <t>7, 17, 19, 25, 27, 29, 31, 8, 14, 18, 28, 30, 38, 40, 42, 44, 64.</t>
  </si>
  <si>
    <t>ст.Шевченко, все,1-23</t>
  </si>
  <si>
    <t>ст. Шевченко, всі колії</t>
  </si>
  <si>
    <t>1, 3, 5, 7, 9, 11, 13, 15, 17, 2, 4, 6, 8, 10, 12, 21, 23.</t>
  </si>
  <si>
    <t>Бахмут,гл.1-25; Малоил.6</t>
  </si>
  <si>
    <t>ст.Бахмут, ст.Малоіль-шівська, головні колії</t>
  </si>
  <si>
    <t>1, 5, 7, 9, 11, 2, 4, 6, 10, 25;
6.</t>
  </si>
  <si>
    <t>ст.Бахмут, п/о,3-37</t>
  </si>
  <si>
    <t>ст.Бахмут, приймально-відправні колії</t>
  </si>
  <si>
    <t>3, 13, 15, 17, 19, 21, 23, 27, 8, 12, 16, 37.</t>
  </si>
  <si>
    <t>ст.Курдюмовка, все,1-27</t>
  </si>
  <si>
    <t>ст. Курдюмівка, всі колії</t>
  </si>
  <si>
    <t>1, 3, 9, 11, 13, 15, 6, 8, 10, 12, 14, 27.</t>
  </si>
  <si>
    <t>ст.Майорская, глав.,1-20</t>
  </si>
  <si>
    <t>ст. Майорська, головні колії</t>
  </si>
  <si>
    <t>1, 3, 5, 7, 9, 11, 17, 2, 4, 6, 8, 10, 16, 20.</t>
  </si>
  <si>
    <t>ст.Майорская, п/о,7-2</t>
  </si>
  <si>
    <t>ст. Майорська, приймально-відправні колії</t>
  </si>
  <si>
    <t>13, 15, 19, 23, 25, 18, 24, 26, 28, 30, 32, 36.</t>
  </si>
  <si>
    <t>ст.Нырково, все,1-27</t>
  </si>
  <si>
    <t>ст. Ниркове, всі колії</t>
  </si>
  <si>
    <t>1, 7, 15, 20, 24, 6, 4, 17, 25, 26, 14, 8, 2, 27.</t>
  </si>
  <si>
    <t>ст.Светланово,1-26</t>
  </si>
  <si>
    <t>ст. Світланове, всі колії</t>
  </si>
  <si>
    <t>Св.: 1, 5, 7, 9, 15, 17, 19, 21, 10, 12, 16, 18, 20, 22, 24, 26.</t>
  </si>
  <si>
    <t>ст.Светлан.1-26; Шипил.1-3</t>
  </si>
  <si>
    <t>ст. Світланове, всі колії
ст. Шипилове, всі колії</t>
  </si>
  <si>
    <t>Св.: 1,5,7,9,15,17,19,21,10,12,16, 18, 20, 22, 24, 26; Шип.: 1,2,3.</t>
  </si>
  <si>
    <t>Светлан.1-26; Нырково,1-27</t>
  </si>
  <si>
    <t>ст. Світланове, всі колії
ст. Ниркове, всі колії</t>
  </si>
  <si>
    <t>Св.: 1,5,7,9,15,17,19,21,10,12,16, 18, 20, 22, 24, 26; Нир.: 1, 7, 15, 20,24, 6, 4, 17,25, 26,14, 8, 2,27.</t>
  </si>
  <si>
    <t>ст.Лиман,425(І)</t>
  </si>
  <si>
    <t>ст. Лиман</t>
  </si>
  <si>
    <t>425(10-4пк)</t>
  </si>
  <si>
    <t>зварні стики</t>
  </si>
  <si>
    <t>ст.Лиман,425-424(І)</t>
  </si>
  <si>
    <t>425(3-1пк)-424(10-9пк)</t>
  </si>
  <si>
    <t>ст.Лиман,424-423(І)</t>
  </si>
  <si>
    <t>424(8-1пк)-423(10-8пк)</t>
  </si>
  <si>
    <t>ст.Лиман,423(І)</t>
  </si>
  <si>
    <t>423(7-3пк)</t>
  </si>
  <si>
    <t>ст.Лиман,423-422(І)</t>
  </si>
  <si>
    <t>423(2-1пк)-422(10-6пк)</t>
  </si>
  <si>
    <t>ст.Лиман,422(І)</t>
  </si>
  <si>
    <t>422(5-1пк)</t>
  </si>
  <si>
    <t>ст.Лиман,421(І)</t>
  </si>
  <si>
    <t>421(10-6пк)</t>
  </si>
  <si>
    <t>421(5-1пк)</t>
  </si>
  <si>
    <t>ст.Лиман,420(І)</t>
  </si>
  <si>
    <t>420(10-6пк)</t>
  </si>
  <si>
    <t>ст.Лиман,420-419(І)</t>
  </si>
  <si>
    <t>420(5-1пк)-419(10пк)</t>
  </si>
  <si>
    <t>Лиман-Форпостная,419(І)</t>
  </si>
  <si>
    <t>ст. Лиман
Лиман – Форпостна</t>
  </si>
  <si>
    <t>419(9-6пк)</t>
  </si>
  <si>
    <t>Лиман – Форпостна</t>
  </si>
  <si>
    <t>419(5-1пк)</t>
  </si>
  <si>
    <t>Лиман-Форпостная,418(І)</t>
  </si>
  <si>
    <t>418(10-6пк)</t>
  </si>
  <si>
    <t>418(5-1пк)</t>
  </si>
  <si>
    <t>Лиман-Форпостная,417(І)</t>
  </si>
  <si>
    <t>417(10-6пк)</t>
  </si>
  <si>
    <t>417(5-1пк)</t>
  </si>
  <si>
    <t>Лиман-Форпостная,416(І)</t>
  </si>
  <si>
    <t>416(10-6пк)</t>
  </si>
  <si>
    <t>416(5-1пк)</t>
  </si>
  <si>
    <t>Лиман-Форпостная,415(І)</t>
  </si>
  <si>
    <t>415(10-7пк)</t>
  </si>
  <si>
    <t>415(6-2пк)</t>
  </si>
  <si>
    <t>ст.Форпостная,415-414(І)</t>
  </si>
  <si>
    <t>Лиман – Форпостна
ст. Форпостна</t>
  </si>
  <si>
    <t>415(1пк)-414(10-8пк)</t>
  </si>
  <si>
    <t>ст.Форпостная,414-413(І)</t>
  </si>
  <si>
    <t>ст. Форпостна</t>
  </si>
  <si>
    <t>414(7-1пк)-413(10-9пк)</t>
  </si>
  <si>
    <t>ст.Форпостная,413(І)</t>
  </si>
  <si>
    <t>413(8-2пк)</t>
  </si>
  <si>
    <t>Форпост.-Свят.413-412(І)</t>
  </si>
  <si>
    <t>ст. Форпостна
Форпостна – Святогірськ</t>
  </si>
  <si>
    <t>413(1пк)-412(10-7пк)</t>
  </si>
  <si>
    <t>Форпост.-Святогор.412(І)</t>
  </si>
  <si>
    <t>Форпостна – Святогірськ</t>
  </si>
  <si>
    <t>412(6-3пк)</t>
  </si>
  <si>
    <t>Форпост.-Свят.412-411(І)</t>
  </si>
  <si>
    <t>412(2-1пк)-411(10-9пк)</t>
  </si>
  <si>
    <t>Форпост.-Святогор.411(І)</t>
  </si>
  <si>
    <t>411(8-4пк)</t>
  </si>
  <si>
    <t>Форпост.-Свят.411-410(І)</t>
  </si>
  <si>
    <t>411(3-1пк)-410(10пк)</t>
  </si>
  <si>
    <t>Форпост.-Святогор.410(І)</t>
  </si>
  <si>
    <t>410(9-6пк)</t>
  </si>
  <si>
    <t>410(5-1пк)</t>
  </si>
  <si>
    <t>Форпост.-Святогор.409(І)</t>
  </si>
  <si>
    <t>409(10-7пк)</t>
  </si>
  <si>
    <t>409(6-2пк)</t>
  </si>
  <si>
    <t>Форпост.-Свят.409-408(І)</t>
  </si>
  <si>
    <t>409(1пк)-408(10-8пк)</t>
  </si>
  <si>
    <t>Форпост.-Святогор.408(І)</t>
  </si>
  <si>
    <t>408(7-3пк)</t>
  </si>
  <si>
    <t>Форпост.-Свят.408-407(І)</t>
  </si>
  <si>
    <t>408(2-1пк)-407(10-9пк)</t>
  </si>
  <si>
    <t>Форпост.-Святогор.407(І)</t>
  </si>
  <si>
    <t>407(8-5пк)</t>
  </si>
  <si>
    <t>407(4-1пк)</t>
  </si>
  <si>
    <t>Форпост.-Святогор.406(І)</t>
  </si>
  <si>
    <t>406(10-6пк)</t>
  </si>
  <si>
    <t>406(5-2пк)</t>
  </si>
  <si>
    <t>Форпост.-Свят.406-405(І)</t>
  </si>
  <si>
    <t>406(1пк)-405(10-7пк)</t>
  </si>
  <si>
    <t>Форпост.-Святогор.405(І)</t>
  </si>
  <si>
    <t>405(6-3пк)</t>
  </si>
  <si>
    <t>Форпост.-Свят.405-404(І)</t>
  </si>
  <si>
    <t>405(2-1пк)-404(10-8пк)</t>
  </si>
  <si>
    <t>Форпост.-Святогор.404(І)</t>
  </si>
  <si>
    <t>404(7-3пк)</t>
  </si>
  <si>
    <t>Форпост.-Свят.404-403(І)</t>
  </si>
  <si>
    <t>404(2-1пк)-403(10-8пк)</t>
  </si>
  <si>
    <t>Форпост.-Святогор.403(І)</t>
  </si>
  <si>
    <t>403(7-3пк)</t>
  </si>
  <si>
    <t>ст.Святогорск,403-402(І)</t>
  </si>
  <si>
    <t>Форпостна – Святогірськ
ст. Святогірськ</t>
  </si>
  <si>
    <t>403(2-1пк)-402(10-8пк)</t>
  </si>
  <si>
    <t>ст.Святогорск,402-401(І)</t>
  </si>
  <si>
    <t>ст. Святогірськ</t>
  </si>
  <si>
    <t>402(7-1пк)-401(10пк)</t>
  </si>
  <si>
    <t>ст.Святогорск,401(І)</t>
  </si>
  <si>
    <t>401(9-5пк)</t>
  </si>
  <si>
    <t>ст.Святогорск,401-400(І)</t>
  </si>
  <si>
    <t>401(4-1пк)-400(10-8пк)</t>
  </si>
  <si>
    <t>ст.Святогорск,400(І)</t>
  </si>
  <si>
    <t>400(7-3пк)</t>
  </si>
  <si>
    <t>ст.Святогорск,400-399(І)</t>
  </si>
  <si>
    <t>400(2-1пк)-399(10-8пк)</t>
  </si>
  <si>
    <t>ст.Святогорск,399(І)</t>
  </si>
  <si>
    <t>399(7-3пк)</t>
  </si>
  <si>
    <t>ст.Святогорск,399-398(І)</t>
  </si>
  <si>
    <t>399(2-1пк)-398(10-8пк)</t>
  </si>
  <si>
    <t>ст.Святогорск,398(І)</t>
  </si>
  <si>
    <t>398(7-4пк)</t>
  </si>
  <si>
    <t>ст.Святогорск,398-397(І)</t>
  </si>
  <si>
    <t>398(3-1пк)-397(10-9пк)</t>
  </si>
  <si>
    <t>Святогорск-Букино,397(І)</t>
  </si>
  <si>
    <t>Святогірськ – Букине</t>
  </si>
  <si>
    <t>397(8-4пк)</t>
  </si>
  <si>
    <t>Свят.-Букино,397-396(І)</t>
  </si>
  <si>
    <t>397(3-1пк)-396(10пк)</t>
  </si>
  <si>
    <t>Святогорск-Букино,396(І)</t>
  </si>
  <si>
    <t>396(9-5пк)</t>
  </si>
  <si>
    <t>Свят.-Букино,396-395(І)</t>
  </si>
  <si>
    <t>396(4-1пк)-395(10пк)</t>
  </si>
  <si>
    <t>Святогорск-Букино,395(І)</t>
  </si>
  <si>
    <t>395(9-6пк)</t>
  </si>
  <si>
    <t>395(5-2пк)</t>
  </si>
  <si>
    <t>Свят.-Букино,395-394(І)</t>
  </si>
  <si>
    <t>395(1пк)-394(10-8пк)</t>
  </si>
  <si>
    <t>Святогорск-Букино,394(І)</t>
  </si>
  <si>
    <t>394(7-3пк)</t>
  </si>
  <si>
    <t>Свят.-Букино,394-393(І)</t>
  </si>
  <si>
    <t>394(2-1пк)-393(10-8пк)</t>
  </si>
  <si>
    <t>Святогорск-Букино,393(І)</t>
  </si>
  <si>
    <t>393(7-4пк)</t>
  </si>
  <si>
    <t>Свят.-Букино,393-392(І)</t>
  </si>
  <si>
    <t>393(3-1пк)-392(10-9пк)</t>
  </si>
  <si>
    <t>Святогорск-Букино,392(І)</t>
  </si>
  <si>
    <t>392(8-4пк)</t>
  </si>
  <si>
    <t>Свят.-Букино,392-391(І)</t>
  </si>
  <si>
    <t>392(3-1пк)-391(10-9пк)</t>
  </si>
  <si>
    <t>Свят.-Букино,391-390(І)</t>
  </si>
  <si>
    <t>391(8-4пк)</t>
  </si>
  <si>
    <t>Святогорск-Букино,390(І)</t>
  </si>
  <si>
    <t>391(3-1пк)-390(10-9пк)</t>
  </si>
  <si>
    <t>Свят.-Букино,390-389(І)</t>
  </si>
  <si>
    <t>390(8-4пк)</t>
  </si>
  <si>
    <t>Святогорск-Букино,389(І)</t>
  </si>
  <si>
    <t>390(3-1пк)-389(10-9пк)</t>
  </si>
  <si>
    <t>389(8-2пк)</t>
  </si>
  <si>
    <t>Букино-Святогорск,389(І,ІI)</t>
  </si>
  <si>
    <t>Букине – Святогірськ</t>
  </si>
  <si>
    <t>непарна,
парна</t>
  </si>
  <si>
    <t>389(1пк)
389(1-2пк)</t>
  </si>
  <si>
    <t>Букино-Святогорск,389(ІI)</t>
  </si>
  <si>
    <t>389(3-7пк)</t>
  </si>
  <si>
    <t>389(8-9пк)</t>
  </si>
  <si>
    <t>Букино-Свят.,389-390(ІI)</t>
  </si>
  <si>
    <t>389(10пк)
390(1пк)</t>
  </si>
  <si>
    <t>Букино-Святогорск,390(ІI)</t>
  </si>
  <si>
    <t>390(2-3пк)</t>
  </si>
  <si>
    <t>390(4-5пк)</t>
  </si>
  <si>
    <t>390(6-7пк)</t>
  </si>
  <si>
    <t>390(8-10пк)</t>
  </si>
  <si>
    <t>Букино-Святогорск,391(ІІ)</t>
  </si>
  <si>
    <t>391(1-5пк)</t>
  </si>
  <si>
    <t>391(6-10пк)</t>
  </si>
  <si>
    <t>Букино-Святогорск,392(ІІ)</t>
  </si>
  <si>
    <t>392(1-5пк)</t>
  </si>
  <si>
    <t>392(6-10пк)</t>
  </si>
  <si>
    <t>Букино-Святогорск,393(ІІ)</t>
  </si>
  <si>
    <t>393(1-5пк)</t>
  </si>
  <si>
    <t>393(6-10пк)</t>
  </si>
  <si>
    <t>Букино-Святогор.,394(ІІ)</t>
  </si>
  <si>
    <t>394(1-5пк)</t>
  </si>
  <si>
    <t>394(6-10пк)</t>
  </si>
  <si>
    <t>Букино-Святогор.,395(ІІ)</t>
  </si>
  <si>
    <t>395(1-5пк)</t>
  </si>
  <si>
    <t>395(6-10пк)</t>
  </si>
  <si>
    <t>Букино-Святогор.,396(ІІ)</t>
  </si>
  <si>
    <t>396(1-4пк)</t>
  </si>
  <si>
    <t>396(5-9пк)</t>
  </si>
  <si>
    <t>Букино-Свят.,396-397(ІІ)</t>
  </si>
  <si>
    <t>396(10пк)-397(1-4пк)</t>
  </si>
  <si>
    <t>Букино-Святогор.,397(ІІ)</t>
  </si>
  <si>
    <t>Букине – Святогірськ
ст. Святогірськ</t>
  </si>
  <si>
    <t>397(5-9пк)</t>
  </si>
  <si>
    <t>ст.Святогорск,397-398(ІІ)</t>
  </si>
  <si>
    <t>397(10пк)-398(1-4пк)</t>
  </si>
  <si>
    <t>ст.Святогорск,398(ІІ)</t>
  </si>
  <si>
    <t>398(5-9пк)</t>
  </si>
  <si>
    <t>ст.Святогорск,398-399(ІІ)</t>
  </si>
  <si>
    <t>398(10пк)-399(1-4пк)</t>
  </si>
  <si>
    <t>ст.Святогорск,399(ІІ)</t>
  </si>
  <si>
    <t>399(5-10пк)</t>
  </si>
  <si>
    <t>ст.Святогорск,400(ІІ)</t>
  </si>
  <si>
    <t>400(1-4пк)</t>
  </si>
  <si>
    <t>Святогорск,400-401(II,VІ)</t>
  </si>
  <si>
    <t>парна-VI</t>
  </si>
  <si>
    <t>400(5-10пк)-401(1-2пк)</t>
  </si>
  <si>
    <t>ст.Святогорcк,401(VI)</t>
  </si>
  <si>
    <t>VI</t>
  </si>
  <si>
    <t>401(3-6пк)</t>
  </si>
  <si>
    <t>Святогорск,401-402(VI,ІІ)</t>
  </si>
  <si>
    <t>VI,парна</t>
  </si>
  <si>
    <t>401(7-10пк)-402(1-3пк)</t>
  </si>
  <si>
    <t>ст.Святогорск,77-76(II)</t>
  </si>
  <si>
    <t>ст.Святогірськ (на Тропу)</t>
  </si>
  <si>
    <t>77(3-1пк)-76(10пк)</t>
  </si>
  <si>
    <t>ст.Святогорск,76(II)</t>
  </si>
  <si>
    <t>76(9-7пк)</t>
  </si>
  <si>
    <t>76(6-1пк)</t>
  </si>
  <si>
    <t>ст.Святогорск,75(II,о)</t>
  </si>
  <si>
    <t>парна
однокол.</t>
  </si>
  <si>
    <t>75(10-4пк)</t>
  </si>
  <si>
    <t>ст.Святогорск,75-74(о)</t>
  </si>
  <si>
    <t>75(3-1пк)-
74(10-7пк)</t>
  </si>
  <si>
    <t>ст.Святогорск,74(о)</t>
  </si>
  <si>
    <t>74(6-1пк)</t>
  </si>
  <si>
    <t>ст.Святогорск,73(о)</t>
  </si>
  <si>
    <t>ст.Святогірськ (на Тропу)
Святогірськ – Тропа</t>
  </si>
  <si>
    <t>73(10-6пк)</t>
  </si>
  <si>
    <t>Святогорск-Тропа,73(о)</t>
  </si>
  <si>
    <t>Святогірськ – Тропа
ст. Святогірськ</t>
  </si>
  <si>
    <t>73(5-1пк)</t>
  </si>
  <si>
    <t>ст.Святогорск,402(ІІ)</t>
  </si>
  <si>
    <t>ст.Святогірськ</t>
  </si>
  <si>
    <t>402(4-9пк)</t>
  </si>
  <si>
    <t>ст.Святогорск,402-403(ІІ)</t>
  </si>
  <si>
    <t>ст.Святогірськ
Святогірськ – Форпостна</t>
  </si>
  <si>
    <t>402(10пк)-403(1-4пк)</t>
  </si>
  <si>
    <t>Святогор.-Форпост.403(ІІ)</t>
  </si>
  <si>
    <t>Святогірськ – Форпостна</t>
  </si>
  <si>
    <t>403(5-9пк)</t>
  </si>
  <si>
    <t>Святог.-Форп.403-404(ІІ)</t>
  </si>
  <si>
    <t>403(10пк)-404(1-4пк)</t>
  </si>
  <si>
    <t>Святогор.-Форпост.404(ІІ)</t>
  </si>
  <si>
    <t>404(5-9пк)</t>
  </si>
  <si>
    <t>Святог.-Форп.404-405(ІІ)</t>
  </si>
  <si>
    <t>404(10пк)-405(1-3пк)</t>
  </si>
  <si>
    <t>Святогор.-Форпост.405(ІІ)</t>
  </si>
  <si>
    <t>405(4-8пк)</t>
  </si>
  <si>
    <t>Святог.-Форп.405-406(ІІ)</t>
  </si>
  <si>
    <t>405(9-10пк)-406(1-3пк)</t>
  </si>
  <si>
    <t>Святогор.-Форпост.406(ІІ)</t>
  </si>
  <si>
    <t>406(4-9пк)</t>
  </si>
  <si>
    <t>Святог.-Форп.406-407(ІІ)</t>
  </si>
  <si>
    <t>406(9-10пк)-407(1-4пк)</t>
  </si>
  <si>
    <t>Святогор.-Форпост.407(ІІ)</t>
  </si>
  <si>
    <t>407(4-10пк)</t>
  </si>
  <si>
    <t>Святогор.-Форпост.408(ІІ)</t>
  </si>
  <si>
    <t>408(1-5пк)</t>
  </si>
  <si>
    <t>408(6-10пк)</t>
  </si>
  <si>
    <t>Святогор.-Форпост.409(ІІ)</t>
  </si>
  <si>
    <t>409(1-5пк)</t>
  </si>
  <si>
    <t>409(6-10пк)</t>
  </si>
  <si>
    <t>Святогор.-Форпост.410(ІІ)</t>
  </si>
  <si>
    <t>410(1-5пк)</t>
  </si>
  <si>
    <t>Святог.-Форп.410-411(ІІ)</t>
  </si>
  <si>
    <t>410(6-10пк)-411(1пк)</t>
  </si>
  <si>
    <t>Святогор.-Форпост.411(ІІ)</t>
  </si>
  <si>
    <t>411(2-6пк)</t>
  </si>
  <si>
    <t>411(7-10пк)</t>
  </si>
  <si>
    <t>Святогор.-Форпост.412(ІІ)</t>
  </si>
  <si>
    <t>412(1-5пк)</t>
  </si>
  <si>
    <t>412(6-9пк)</t>
  </si>
  <si>
    <t>Святог.-Форп.412-413(ІІ)</t>
  </si>
  <si>
    <t>Святогірськ – Форпостна
ст. Форпостна</t>
  </si>
  <si>
    <t>412(10пк)-413(1-4пк)</t>
  </si>
  <si>
    <t>ст.Форпостная,413-414(ІІ)</t>
  </si>
  <si>
    <t>413(10пк)-414(1-7пк)</t>
  </si>
  <si>
    <t>Форпост.-Лим.414-415(ІІ)</t>
  </si>
  <si>
    <t>ст. Форпостна
Форпостна – Лиман</t>
  </si>
  <si>
    <t>414(8-10пк)-415(1пк)</t>
  </si>
  <si>
    <t>Форпостная-Лиман,415(ІІ)</t>
  </si>
  <si>
    <t>Форпостна – Лиман</t>
  </si>
  <si>
    <t>415(2-6пк)</t>
  </si>
  <si>
    <t>Форпост.-Лим.415-416(ІІ)</t>
  </si>
  <si>
    <t>415(7-10пк)-416(1пк)</t>
  </si>
  <si>
    <t>Форпостная-Лиман,416(ІІ)</t>
  </si>
  <si>
    <t>416(2-5пк)</t>
  </si>
  <si>
    <t>416(6-10пк)</t>
  </si>
  <si>
    <t>Форпостная-Лиман,417(ІІ)</t>
  </si>
  <si>
    <t>417(1-5пк)</t>
  </si>
  <si>
    <t>417(6-10пк)</t>
  </si>
  <si>
    <t>Форпостная-Лиман,418(ІІ)</t>
  </si>
  <si>
    <t>418(1-5пк)</t>
  </si>
  <si>
    <t>418(6-10пк)</t>
  </si>
  <si>
    <t>Форпостная-Лиман,419(ІІ)</t>
  </si>
  <si>
    <t>419(1-5пк)</t>
  </si>
  <si>
    <t>419(6-10пк)</t>
  </si>
  <si>
    <t>Форпостная-Лиман,420(ІІ)</t>
  </si>
  <si>
    <t>420(1-5пк)</t>
  </si>
  <si>
    <t>420(6-10пк)</t>
  </si>
  <si>
    <t>ст.Лиман,421(ІІ)</t>
  </si>
  <si>
    <t>421(1-5пк)</t>
  </si>
  <si>
    <t>421(6-10пк)</t>
  </si>
  <si>
    <t>ст.Лиман,422(ІІ)</t>
  </si>
  <si>
    <t>422(1-6пк)</t>
  </si>
  <si>
    <t>ст.Лиман 422-423(ІІ)</t>
  </si>
  <si>
    <t>422(7-10пк)-423(1-2пк)</t>
  </si>
  <si>
    <t>ст.Лиман 423(ІІ)</t>
  </si>
  <si>
    <t>423(3-8пк)</t>
  </si>
  <si>
    <t>ст.Лиман 423-424(ІІ)</t>
  </si>
  <si>
    <t>423(9-10пк)-424(1-4пк)</t>
  </si>
  <si>
    <t>ст.Лиман 424(ІІ)</t>
  </si>
  <si>
    <t>424(5-10пк)</t>
  </si>
  <si>
    <t>ст.Лиман 425(ІІ)</t>
  </si>
  <si>
    <t>425(1-10пк)</t>
  </si>
  <si>
    <t>ст.Лиман,426(ІІ)</t>
  </si>
  <si>
    <t>426(1-9пк)</t>
  </si>
  <si>
    <t>ст.Лиман,426-427(ІІ)</t>
  </si>
  <si>
    <t>426(10пк)-427(1-3пк)</t>
  </si>
  <si>
    <t>Лиман-Ямполь 427(ІІ)</t>
  </si>
  <si>
    <t>Лиман – Ямпіль</t>
  </si>
  <si>
    <t>427(4-8пк)</t>
  </si>
  <si>
    <t>Лиман-Ямполь 427-428(ІІ)</t>
  </si>
  <si>
    <t>427(9-10пк)-428(1-3пк)</t>
  </si>
  <si>
    <t>Лиман-Ямполь 428(ІІ)</t>
  </si>
  <si>
    <t>428(4-8пк)</t>
  </si>
  <si>
    <t>Лиман-Ямполь 428-429(ІІ)</t>
  </si>
  <si>
    <t>428(9-10пк)-429(1-3пк)</t>
  </si>
  <si>
    <t>Лиман-Ямполь 429(ІІ)</t>
  </si>
  <si>
    <t>429(4-8пк)</t>
  </si>
  <si>
    <t>Лиман-Ямполь 429-430(ІІ)</t>
  </si>
  <si>
    <t>429(9-10пк)-430(1-3пк)</t>
  </si>
  <si>
    <t>Лиман-Ямполь 430(ІІ)</t>
  </si>
  <si>
    <t>430(4-8пк)</t>
  </si>
  <si>
    <t>Лиман-Ямполь 430-431(ІІ)</t>
  </si>
  <si>
    <t>430(9-10пк)-431(1-3пк)</t>
  </si>
  <si>
    <t>Лиман-Ямполь 431(ІІ)</t>
  </si>
  <si>
    <t>431(4-8пк)</t>
  </si>
  <si>
    <t>Лиман-Ямполь 431-432(ІІ)</t>
  </si>
  <si>
    <t>431(9-10пк)-432(1-3пк)</t>
  </si>
  <si>
    <t>Лиман-Ямполь 432(ІІ)</t>
  </si>
  <si>
    <t>432(4-8пк)</t>
  </si>
  <si>
    <t>Лиман-Ямполь 432-433(ІІ)</t>
  </si>
  <si>
    <t>432(9-10пк)-433(1-3пк)</t>
  </si>
  <si>
    <t>Лиман-Ямполь 433(ІІ)</t>
  </si>
  <si>
    <t>433(4-7пк)</t>
  </si>
  <si>
    <t>Лиман-Ямполь 433-434(ІІ)</t>
  </si>
  <si>
    <t>433(8-10пк)-434(1-2пк)</t>
  </si>
  <si>
    <t>Лиман-Ямполь 434(ІІ)</t>
  </si>
  <si>
    <t>434(3-6пк)</t>
  </si>
  <si>
    <t>Лиман-Ямполь 434-435(ІІ)</t>
  </si>
  <si>
    <t>434(7-10пк)-435(1пк)</t>
  </si>
  <si>
    <t>Лиман-Ямполь 435(ІІ)</t>
  </si>
  <si>
    <t>435(2-6пк)</t>
  </si>
  <si>
    <t>ст.Ямполь 435(ІІ)</t>
  </si>
  <si>
    <t>435(7-10пк)</t>
  </si>
  <si>
    <t>ст.Ямполь 436(ІІ)</t>
  </si>
  <si>
    <t>436(1-6пк)</t>
  </si>
  <si>
    <t>ст.Ямполь 436-437(ІІ)</t>
  </si>
  <si>
    <t>436(7-10пк)-437(1пк)</t>
  </si>
  <si>
    <t>ст.Ямполь 437(ІІ)</t>
  </si>
  <si>
    <t>437(2-8пк)</t>
  </si>
  <si>
    <t>Ямполь-Север.437-438(ІІ)</t>
  </si>
  <si>
    <t>Ямпіль – Сіверськ</t>
  </si>
  <si>
    <t>437(9-10пк)-438(1-3пк)</t>
  </si>
  <si>
    <t>Ямполь-Северск 438(ІІ)</t>
  </si>
  <si>
    <t>438(4-8пк)</t>
  </si>
  <si>
    <t>Ямполь-Север.438-439(ІІ)</t>
  </si>
  <si>
    <t>438(9-10пк)-439(1-3пк)</t>
  </si>
  <si>
    <t>Ямполь-Северск 439(ІІ)</t>
  </si>
  <si>
    <t>439(4-8пк)</t>
  </si>
  <si>
    <t>Ямполь-Север.439-440(ІІ)</t>
  </si>
  <si>
    <t>439(9-10пк)-440(1-3пк)</t>
  </si>
  <si>
    <t>Ямполь-Северск 440(ІІ)</t>
  </si>
  <si>
    <t>440(4-9пк)</t>
  </si>
  <si>
    <t>Ямполь-Север.440-441(ІІ)</t>
  </si>
  <si>
    <t>440(10пк)-441(1-4пк)</t>
  </si>
  <si>
    <t>Ямполь-Северск 441(ІІ)</t>
  </si>
  <si>
    <t>441(5-10пк)</t>
  </si>
  <si>
    <t>Ямполь-Север.442-443(ІІ)</t>
  </si>
  <si>
    <t>442(1-10пк)-443(1-3пк)</t>
  </si>
  <si>
    <t>Ямполь-Северск 443(ІІ)</t>
  </si>
  <si>
    <t>443(4-7пк)</t>
  </si>
  <si>
    <t>Ямполь-Север.443-444(ІІ)</t>
  </si>
  <si>
    <t>443(-10пк)-444(1-2пк)</t>
  </si>
  <si>
    <t>Ямполь-Северск 444(ІІ)</t>
  </si>
  <si>
    <t>444(3-6пк)</t>
  </si>
  <si>
    <t>ст.Северск 444-445(ІІ)</t>
  </si>
  <si>
    <t>Ямпіль – Сіверськ
ст. Сіверськ</t>
  </si>
  <si>
    <t>444(7-10пк)-445(1пк)</t>
  </si>
  <si>
    <t>ст.Северск,445-446(ІІ)</t>
  </si>
  <si>
    <t>ст. Сіверськ</t>
  </si>
  <si>
    <t>445(2-10пк)-446(1пк)</t>
  </si>
  <si>
    <t>ст.Северск,446(ІІ)</t>
  </si>
  <si>
    <t>446(2-6пк)</t>
  </si>
  <si>
    <t>ст.Северск,446-447(ІІ)</t>
  </si>
  <si>
    <t>446(7-10пк)-447(1-3пк)</t>
  </si>
  <si>
    <t>ст.Северск,447(ІІ)</t>
  </si>
  <si>
    <t>447(4-8пк)</t>
  </si>
  <si>
    <t>ст.Северск,447-448(ІІ)</t>
  </si>
  <si>
    <t>447(9-10пк)-448(1-2пк)</t>
  </si>
  <si>
    <t>ст.Северск,448-449(ІІ)</t>
  </si>
  <si>
    <t>448(3-10пк)-449(1-2пк)</t>
  </si>
  <si>
    <t>ст.Северск,449(ІІ)</t>
  </si>
  <si>
    <t>449(3-7пк)</t>
  </si>
  <si>
    <t>ст.Северск,449-450(ІІ)</t>
  </si>
  <si>
    <t>449(8-10пк)-450(1-7пк)</t>
  </si>
  <si>
    <t>Север.-Зовная,450-451(ІІ)</t>
  </si>
  <si>
    <t>ст. Сіверськ
Сіверськ – Зовна</t>
  </si>
  <si>
    <t>450(8-10пк)-451(1-2пк)</t>
  </si>
  <si>
    <t>Северск-Зовная,451(ІІ)</t>
  </si>
  <si>
    <t>Сіверськ – Зовна</t>
  </si>
  <si>
    <t>451(3-6пк)</t>
  </si>
  <si>
    <t>Север.-Зовная,451-452(ІІ)</t>
  </si>
  <si>
    <t>451(7-10пк)-452(1пк)</t>
  </si>
  <si>
    <t>Северск-Зовная,452(ІІ)</t>
  </si>
  <si>
    <t>452(2-6пк)</t>
  </si>
  <si>
    <t>452(7-10пк)</t>
  </si>
  <si>
    <t>Северск-Зовная,453(ІІ)</t>
  </si>
  <si>
    <t>453(1-4пк)</t>
  </si>
  <si>
    <t>453(5-7пк)</t>
  </si>
  <si>
    <t>Север.-Зовная,453-454(ІІ)</t>
  </si>
  <si>
    <t>453(8-10пк)-454(1-2пк)</t>
  </si>
  <si>
    <t>Северск-Зовная,454(ІІ)</t>
  </si>
  <si>
    <t>454(3-7пк)</t>
  </si>
  <si>
    <t>Север.-Зовная,454-455(ІІ)</t>
  </si>
  <si>
    <t>454(8-10пк)-455(1-2пк)</t>
  </si>
  <si>
    <t>Северск-Зовная,455(ІІ)</t>
  </si>
  <si>
    <t>455(3-7пк)</t>
  </si>
  <si>
    <t>Север.-Зовная,455-456(ІІ)</t>
  </si>
  <si>
    <t>455(8-10пк)-456(1-3пк)</t>
  </si>
  <si>
    <t>Северск-Зовная,456(ІІ)</t>
  </si>
  <si>
    <t>456(4-7пк)</t>
  </si>
  <si>
    <t>Север.-Зовная,456-457(ІІ)</t>
  </si>
  <si>
    <t>456(8-10пк)-457(1-2пк)</t>
  </si>
  <si>
    <t>Северск-Зовная,457(ІІ)</t>
  </si>
  <si>
    <t>457(3-7пк)</t>
  </si>
  <si>
    <t>Север.-Зовная,457-458(ІІ)</t>
  </si>
  <si>
    <t>457(8-10пк)-458(1-2пк)</t>
  </si>
  <si>
    <t>ст.Зовная, 458(ІІ)</t>
  </si>
  <si>
    <t>Сіверськ – Зовна
ст. Зовна</t>
  </si>
  <si>
    <t>458(3-9пк)</t>
  </si>
  <si>
    <t>ст.Зовная,458-459(ІІ)</t>
  </si>
  <si>
    <t>ст. Зовна</t>
  </si>
  <si>
    <t>458(10пк)-459(1-3пк)</t>
  </si>
  <si>
    <t>ст.Зовная, 459(ІІ)</t>
  </si>
  <si>
    <t>459(4-9пк)</t>
  </si>
  <si>
    <t>Зовная-Соль,459-460(ІІ)</t>
  </si>
  <si>
    <t>ст. Зовна
Зовна – Сіль</t>
  </si>
  <si>
    <t>459(10пк)-460(1-2пк)</t>
  </si>
  <si>
    <t>Зовная-Соль,460(ІІ)</t>
  </si>
  <si>
    <t>Зовна – Сіль</t>
  </si>
  <si>
    <t>460(3-5пк)</t>
  </si>
  <si>
    <t>460(6-7пк)</t>
  </si>
  <si>
    <t>460(8-10пк)</t>
  </si>
  <si>
    <t>Зовная-Соль,461(ІІ)</t>
  </si>
  <si>
    <t>461(1-3пк)</t>
  </si>
  <si>
    <t>461(4-5пк)</t>
  </si>
  <si>
    <t>461(6-7пк)</t>
  </si>
  <si>
    <t>461(8-10пк)</t>
  </si>
  <si>
    <t>Зовная-Соль,462(ІІ)</t>
  </si>
  <si>
    <t>462(1-3пк)</t>
  </si>
  <si>
    <t>462(4-5пк)</t>
  </si>
  <si>
    <t>462(6-7пк)</t>
  </si>
  <si>
    <t>462(8-10пк)</t>
  </si>
  <si>
    <t>Зовная-Соль,463(ІІ)</t>
  </si>
  <si>
    <t>463(1-2пк)</t>
  </si>
  <si>
    <t>463(3-4пк)</t>
  </si>
  <si>
    <t>463(5-6пк)</t>
  </si>
  <si>
    <t>463(7-9пк)</t>
  </si>
  <si>
    <t>Зовная-Соль,463-464(ІІ)</t>
  </si>
  <si>
    <t>463(10пк)-464(1пк)</t>
  </si>
  <si>
    <t>Зовная-Соль,464(ІІ)</t>
  </si>
  <si>
    <t>464(2-4пк)</t>
  </si>
  <si>
    <t>464(5-7пк)</t>
  </si>
  <si>
    <t>464(8-9пк)</t>
  </si>
  <si>
    <t>Зовная-Соль,464-465(ІІ)</t>
  </si>
  <si>
    <t>464(10пк)-465(1пк)</t>
  </si>
  <si>
    <t>Зовная-Соль,465(ІІ)</t>
  </si>
  <si>
    <t>465(2-3пк)</t>
  </si>
  <si>
    <t>465(4-5пк)</t>
  </si>
  <si>
    <t>465(6-8пк)</t>
  </si>
  <si>
    <t>465(9-10пк)</t>
  </si>
  <si>
    <t>Зовная-Соль,466(ІІ)</t>
  </si>
  <si>
    <t>466(1-3пк)</t>
  </si>
  <si>
    <t>466(4-6пк)</t>
  </si>
  <si>
    <t>466(7-8пк)</t>
  </si>
  <si>
    <t>466(9-10пк)</t>
  </si>
  <si>
    <t>Зовная-Соль,467(ІІ)</t>
  </si>
  <si>
    <t>467(1-3пк)</t>
  </si>
  <si>
    <t>Зовна – Сіль
ст. Сіль</t>
  </si>
  <si>
    <t>467(4-6пк)</t>
  </si>
  <si>
    <t>ст.Соль,468(ІІ)</t>
  </si>
  <si>
    <t>ст. Сіль</t>
  </si>
  <si>
    <t>467(7-10пк)-468(1-3пк)</t>
  </si>
  <si>
    <t>468(4-10пк)</t>
  </si>
  <si>
    <t>ст.Соль,468(І)</t>
  </si>
  <si>
    <t>468(10-4пк)</t>
  </si>
  <si>
    <t>ст.Соль,468-467(І)</t>
  </si>
  <si>
    <t>468(3-1пк)-467(10-6пк)</t>
  </si>
  <si>
    <t>Соль-Зовная,467(І)</t>
  </si>
  <si>
    <t>Сіль – Зовна</t>
  </si>
  <si>
    <t>467(5-1пк)</t>
  </si>
  <si>
    <t>Соль-Зовная,466(І)</t>
  </si>
  <si>
    <t>466(10-6пк)</t>
  </si>
  <si>
    <t>466(5-1пк)</t>
  </si>
  <si>
    <t>Соль-Зовная,465(І)</t>
  </si>
  <si>
    <t>465(10-6пк)</t>
  </si>
  <si>
    <t>465(5-1пк)</t>
  </si>
  <si>
    <t>Соль-Зовная,464(І)</t>
  </si>
  <si>
    <t>464(10-6пк)</t>
  </si>
  <si>
    <t>464(5-1пк)</t>
  </si>
  <si>
    <t>Соль-Зовная,463(І)</t>
  </si>
  <si>
    <t>463(10-6пк)</t>
  </si>
  <si>
    <t>463(5-1пк)</t>
  </si>
  <si>
    <t>Соль-Зовная,462(І)</t>
  </si>
  <si>
    <t>462(10-6пк)</t>
  </si>
  <si>
    <t>462(5-1пк)</t>
  </si>
  <si>
    <t>Соль-Зовная,461(І)</t>
  </si>
  <si>
    <t>461(10-6пк)</t>
  </si>
  <si>
    <t>461(5-2пк)</t>
  </si>
  <si>
    <t>Соль-Зовная,461-460(І)</t>
  </si>
  <si>
    <t>461(1пк)-460(10-8пк)</t>
  </si>
  <si>
    <t>Соль-Зовная,460(І)</t>
  </si>
  <si>
    <t>460(7-3пк)</t>
  </si>
  <si>
    <t>ст.Зовная,460-459(І)</t>
  </si>
  <si>
    <t>Сіль – Зовна
ст. Зовна</t>
  </si>
  <si>
    <t>460(2-1пк)-459(10-6пк)</t>
  </si>
  <si>
    <t>ст.Зовная,459(І)</t>
  </si>
  <si>
    <t>459(5-1пк)</t>
  </si>
  <si>
    <t>ст.Зовная,458(І)</t>
  </si>
  <si>
    <t>ст. Зовна
Зовна – Сіверськ</t>
  </si>
  <si>
    <t>458(10-2пк)</t>
  </si>
  <si>
    <t>Зовная-Север.,458-457(І)</t>
  </si>
  <si>
    <t>458(1пк)-457(10-7пк)</t>
  </si>
  <si>
    <t>Зовная-Северск,457(І)</t>
  </si>
  <si>
    <t>457(6-2пк)</t>
  </si>
  <si>
    <t>Зовная-Север.,457-456(І)</t>
  </si>
  <si>
    <t>457(1пк)-456(10-7пк)</t>
  </si>
  <si>
    <t>Зовная-Северск,456(І)</t>
  </si>
  <si>
    <t>456(6-1пк)</t>
  </si>
  <si>
    <t>Зовная-Северск,455(І)</t>
  </si>
  <si>
    <t>455(10-6пк)</t>
  </si>
  <si>
    <t>455(5-1пк)</t>
  </si>
  <si>
    <t>Зовная-Северск,454(І)</t>
  </si>
  <si>
    <t>454(10-6пк)</t>
  </si>
  <si>
    <t>454(5-1пк)</t>
  </si>
  <si>
    <t>Зовная-Северск,453(І)</t>
  </si>
  <si>
    <t>453(10-7пк)</t>
  </si>
  <si>
    <t>453(6-5пк)</t>
  </si>
  <si>
    <t>453(4-3пк)</t>
  </si>
  <si>
    <t>Зовная-Север.,453-452(І)</t>
  </si>
  <si>
    <t>453(2-1пк)-452(10пк)</t>
  </si>
  <si>
    <t>Зовная-Северск,452(І)</t>
  </si>
  <si>
    <t>452(9-5пк)</t>
  </si>
  <si>
    <t>Зовная-Север.,452-451(І)</t>
  </si>
  <si>
    <t>452(4-1пк)-451(10пк)</t>
  </si>
  <si>
    <t>Зовная-Северск,451(І)</t>
  </si>
  <si>
    <t>451(9-5пк)</t>
  </si>
  <si>
    <t>451(4-1пк)</t>
  </si>
  <si>
    <t>ст.Северск, 449(І)</t>
  </si>
  <si>
    <t>449(6-1пк)</t>
  </si>
  <si>
    <t>ст.Северск,450(І)</t>
  </si>
  <si>
    <t>450(10-5пк)</t>
  </si>
  <si>
    <t>ст.Северск,450-449(І)</t>
  </si>
  <si>
    <t>450(4-1пк)-449(10-9пк)</t>
  </si>
  <si>
    <t>ст.Северск,449(І)</t>
  </si>
  <si>
    <t>449(8-4пк)</t>
  </si>
  <si>
    <t>ст.Северск,449-448(І)</t>
  </si>
  <si>
    <t>449(3-1пк)-448(10-3пк)</t>
  </si>
  <si>
    <t>ст.Северск,448-447(І)</t>
  </si>
  <si>
    <t>448(2-1пк)-447(10-7пк)</t>
  </si>
  <si>
    <t>ст.Северск,447(І)</t>
  </si>
  <si>
    <t>447(6-2пк)</t>
  </si>
  <si>
    <t>ст.Северск,447-446(І)</t>
  </si>
  <si>
    <t>447(1пк)-446(10-7пк)</t>
  </si>
  <si>
    <t>ст.Северск,446(І)</t>
  </si>
  <si>
    <t>446(6-3пк)</t>
  </si>
  <si>
    <t>ст.Северск,446-445(І)</t>
  </si>
  <si>
    <t>446(2-1пк)-445(10-8пк)</t>
  </si>
  <si>
    <t>ст.Северск,445(І)</t>
  </si>
  <si>
    <t>445(7-1пк)</t>
  </si>
  <si>
    <t>Северск-Ямполь,444(І)</t>
  </si>
  <si>
    <t>ст. Сіверськ
Сіверськ – Ямпіль</t>
  </si>
  <si>
    <t>444(10-6пк)</t>
  </si>
  <si>
    <t>444(5-1пк)</t>
  </si>
  <si>
    <t>Северск-Ямполь,443(І)</t>
  </si>
  <si>
    <t>443(10-7пк)</t>
  </si>
  <si>
    <t>443(6-3пк)</t>
  </si>
  <si>
    <t>Север.-Ямполь,443-442(І)</t>
  </si>
  <si>
    <t>443(2-1пк)-442(10-8пк)</t>
  </si>
  <si>
    <t>Север.-Ямполь,442-441(І)</t>
  </si>
  <si>
    <t>442(7-1пк)-441(10-7пк)</t>
  </si>
  <si>
    <t>Северск-Ямполь,441(І)</t>
  </si>
  <si>
    <t>441(6-1пк)</t>
  </si>
  <si>
    <t>Северск-Ямполь,440(І)</t>
  </si>
  <si>
    <t>440(10-7пк)</t>
  </si>
  <si>
    <t>440(6-2пк)</t>
  </si>
  <si>
    <t>Север.-Ямполь,440-439(І)</t>
  </si>
  <si>
    <t>440(1пк)-439(10-7пк)</t>
  </si>
  <si>
    <t>Северск-Ямполь,439(І)</t>
  </si>
  <si>
    <t>439(6-2пк)</t>
  </si>
  <si>
    <t>Север.-Ямполь,439-438(І)</t>
  </si>
  <si>
    <t>439(1пк)-438(10-7пк)</t>
  </si>
  <si>
    <t>Север.-Ямполь,438-437(І)</t>
  </si>
  <si>
    <t>438(6-2пк)</t>
  </si>
  <si>
    <t>Север.-Ямполь,437-436(І)</t>
  </si>
  <si>
    <t>438(1пк)-437(10-7пк)</t>
  </si>
  <si>
    <t>ст.Ямполь,437-436(І)</t>
  </si>
  <si>
    <t>437(6-1пк)-436(10пк)</t>
  </si>
  <si>
    <t>ст.Ямполь,436(І)</t>
  </si>
  <si>
    <t>436(9-5пк)</t>
  </si>
  <si>
    <t>Ямполь-Лиман,436-435(І)</t>
  </si>
  <si>
    <t>436(4-1пк)-435(10-5пк)</t>
  </si>
  <si>
    <t>Ямполь-Лиман,435-434(І)</t>
  </si>
  <si>
    <t>435(4-1пк)-434(10пк)</t>
  </si>
  <si>
    <t>Ямполь-Лиман,434(І)</t>
  </si>
  <si>
    <t>434(9-4пк)</t>
  </si>
  <si>
    <t>Ямполь-Лиман,434-433(І)</t>
  </si>
  <si>
    <t>434(3-1пк)-433(10пк)</t>
  </si>
  <si>
    <t>Ямполь-Лиман,433(І)</t>
  </si>
  <si>
    <t>433(9-5пк)</t>
  </si>
  <si>
    <t>433(4-1пк)</t>
  </si>
  <si>
    <t>Ямполь-Лиман,432(І)</t>
  </si>
  <si>
    <t>432(10-6пк)</t>
  </si>
  <si>
    <t>432(5-1пк)</t>
  </si>
  <si>
    <t>Ямполь-Лиман,431(І)</t>
  </si>
  <si>
    <t>431(10-6пк)</t>
  </si>
  <si>
    <t>431(5-1пк)</t>
  </si>
  <si>
    <t>Ямполь-Лиман,430(І)</t>
  </si>
  <si>
    <t>430(10-6пк)</t>
  </si>
  <si>
    <t>430(5-1пк)</t>
  </si>
  <si>
    <t>Ямполь-Лиман,429(І)</t>
  </si>
  <si>
    <t>429(10-6пк)</t>
  </si>
  <si>
    <t>429(5-1пк)</t>
  </si>
  <si>
    <t>Ямполь-Лиман,428(І)</t>
  </si>
  <si>
    <t>428(10-6пк)</t>
  </si>
  <si>
    <t>428(5-1пк)</t>
  </si>
  <si>
    <t>Ямполь-Лиман,427(І)</t>
  </si>
  <si>
    <t>427(10-6пк)</t>
  </si>
  <si>
    <t>427(5-1пк)</t>
  </si>
  <si>
    <t>ст.Лиман, 426(І)</t>
  </si>
  <si>
    <t>Ямпіль – Лиман
ст. Лиман</t>
  </si>
  <si>
    <t>426(10-6пк)</t>
  </si>
  <si>
    <t>426(5-1пк)</t>
  </si>
  <si>
    <t>Майорск.-Курдюм.502(I,II)</t>
  </si>
  <si>
    <t>Курдюмівка – Майорська
Майорська – Курдюмівка</t>
  </si>
  <si>
    <t>502(9-10пк)
502(10-8пк)</t>
  </si>
  <si>
    <t>Майорск.-Курдюм.502(I)</t>
  </si>
  <si>
    <t>502(7-3пк)</t>
  </si>
  <si>
    <t>Майорск.-Курдюм.501(I)</t>
  </si>
  <si>
    <t>501(2-1пк)
500(10-8пк)</t>
  </si>
  <si>
    <t>501(7-3пк)</t>
  </si>
  <si>
    <t>ст.Курдюмовка,500(I)</t>
  </si>
  <si>
    <t>500(10-3пк)</t>
  </si>
  <si>
    <t>500(2-1пк)-499(10-9пк)</t>
  </si>
  <si>
    <t>ст.Курдюмовка,500-499(I)</t>
  </si>
  <si>
    <t>499(8-5пк)</t>
  </si>
  <si>
    <t>ст.Курдюмовка,499-498(I)</t>
  </si>
  <si>
    <t>ст. Курдюмівка
Курдюмівка – Бахмут</t>
  </si>
  <si>
    <t>499(4-1пк)-498(10-6пк)</t>
  </si>
  <si>
    <t>Курдюм.-Бахмут,498-497(I)</t>
  </si>
  <si>
    <t>498(5-1пк)-497(10-9пк)</t>
  </si>
  <si>
    <t>Курдюмовка-Бахмут,497(I)</t>
  </si>
  <si>
    <t>497(8-1пк)</t>
  </si>
  <si>
    <t>Курдюмовка-Бахмут,496(I)</t>
  </si>
  <si>
    <t>496(10-4пк)</t>
  </si>
  <si>
    <t>Курдюм.-Бахмут,496-495(I)</t>
  </si>
  <si>
    <t>496(3-1пк)-495(10-7пк)</t>
  </si>
  <si>
    <t>Курдюм.-Бахмут,495-494(I)</t>
  </si>
  <si>
    <t>495(6-1пк)-494(10пк)</t>
  </si>
  <si>
    <t>Курдюмовка-Бахмут,494(I)</t>
  </si>
  <si>
    <t>494(9-3пк)</t>
  </si>
  <si>
    <t>Курдюм.-Бахмут,494-493(I)</t>
  </si>
  <si>
    <t>494(2-1пк)-493(10-6пк)</t>
  </si>
  <si>
    <t>Курдюм.-Бахмут,493-492(I)</t>
  </si>
  <si>
    <t>493(5-1пк)-492(10-8пк)</t>
  </si>
  <si>
    <t>Курдюмовка-Бахмут,492(I)</t>
  </si>
  <si>
    <t>492(7-1пк)</t>
  </si>
  <si>
    <t>Курдюмовка-Бахмут,491(I)</t>
  </si>
  <si>
    <t>491(10-5пк)</t>
  </si>
  <si>
    <t>Курдюм.-Бахмут,491-490(I)</t>
  </si>
  <si>
    <t>491(4-1пк)-490(10-7пк)</t>
  </si>
  <si>
    <t>Курдюмовка-Бахмут,490(I)</t>
  </si>
  <si>
    <t>490(6-2пк)</t>
  </si>
  <si>
    <t>Курдюм.-Бахмут,490-489(I)</t>
  </si>
  <si>
    <t>490(1пк)-489(10-8пк)</t>
  </si>
  <si>
    <t>Курдюмовка-Бахмут,489(I)</t>
  </si>
  <si>
    <t>489(7-4пк)</t>
  </si>
  <si>
    <t>Курдюм.-Бахмут,489-488(I)</t>
  </si>
  <si>
    <t>489(3-1пк)-488(10пк)</t>
  </si>
  <si>
    <t>Курдюмовка-Бахмут,488(I)</t>
  </si>
  <si>
    <t>488(9-2пк)</t>
  </si>
  <si>
    <t>Курдюм.-Бахмут,488-487(I)</t>
  </si>
  <si>
    <t>488(1пк)-487(10-5пк)</t>
  </si>
  <si>
    <t>Курдюм.-Бахмут,487-486(I)</t>
  </si>
  <si>
    <t>487(4-1пк)-486(10-8пк)</t>
  </si>
  <si>
    <t>Курдюмовка-Бахмут,486(I)</t>
  </si>
  <si>
    <t>486(7-1пк)</t>
  </si>
  <si>
    <t>Курдюмовка-Бахмут,485(I)</t>
  </si>
  <si>
    <t>485(10-4пк)</t>
  </si>
  <si>
    <t>Курдюм.-Бахмут,485-484(I)</t>
  </si>
  <si>
    <t>Курдюмівка – Бахмут
ст. Бахмут</t>
  </si>
  <si>
    <t>485(3-1пк)-484(10-7пк)</t>
  </si>
  <si>
    <t>ст.Бахмут,484-483(I)</t>
  </si>
  <si>
    <t>484(6-1пк)-483(10-8пк)</t>
  </si>
  <si>
    <t>ст.Бахмут,483-482(I)</t>
  </si>
  <si>
    <t>483(7-1пк)-482(10пк)</t>
  </si>
  <si>
    <t>Бахмут-Шевченко,482(I)</t>
  </si>
  <si>
    <t>ст. Бахмут
Бахмут – Шевченко</t>
  </si>
  <si>
    <t>482(9-5пк)</t>
  </si>
  <si>
    <t>Бахмут-Шевч.482-481(I)</t>
  </si>
  <si>
    <t>482(4-1пк)-481(10-9пк)</t>
  </si>
  <si>
    <t>Бахмут-Шевченко,481(I)</t>
  </si>
  <si>
    <t>481(8-1пк)</t>
  </si>
  <si>
    <t>Бахмут-Шевченко,480(I)</t>
  </si>
  <si>
    <t>480(10-7пк)</t>
  </si>
  <si>
    <t>480(6-2пк)</t>
  </si>
  <si>
    <t>Бахмут-Шевч.480-479(I)</t>
  </si>
  <si>
    <t>480(1пк)-479(10-8пк)</t>
  </si>
  <si>
    <t>Бахмут-Шевченко,479(I)</t>
  </si>
  <si>
    <t>479(7-5пк)</t>
  </si>
  <si>
    <t>479(4-1пк)</t>
  </si>
  <si>
    <t>Бахмут-Шевченко,478(I)</t>
  </si>
  <si>
    <t>478(10-7пк)</t>
  </si>
  <si>
    <t>478(6-2пк)</t>
  </si>
  <si>
    <t>Бахмут-Шевч.478-477(I)</t>
  </si>
  <si>
    <t>478(1пк)-477(10-8пк)</t>
  </si>
  <si>
    <t>Бахмут-Шевченко,477(I)</t>
  </si>
  <si>
    <t>477(7-4пк)</t>
  </si>
  <si>
    <t>Бахмут-Шевч.477-476(I)</t>
  </si>
  <si>
    <t>477(3-1пк)-476(10-9пк)</t>
  </si>
  <si>
    <t>ст.Шевченко,476(I)</t>
  </si>
  <si>
    <t>476(8-3пк)</t>
  </si>
  <si>
    <t>ст.Шевченко,476-475(I)</t>
  </si>
  <si>
    <t>476(2-1пк)-475(10-8пк)</t>
  </si>
  <si>
    <t>ст.Шевченко,475(I)</t>
  </si>
  <si>
    <t>475(7-3пк)</t>
  </si>
  <si>
    <t>ст.Шевченко,475-474(I)</t>
  </si>
  <si>
    <t>ст. Шевченко
Шевченко – Сіль</t>
  </si>
  <si>
    <t>475(2-1пк)-
474(10-2пк)</t>
  </si>
  <si>
    <t>Шевчен.-Соль,474-473(I)</t>
  </si>
  <si>
    <t>474(1пк)-
473(10-7пк)</t>
  </si>
  <si>
    <t>Шевченко-Соль,473(I)</t>
  </si>
  <si>
    <t>473(6-2пк)</t>
  </si>
  <si>
    <t>Шевчен.-Соль,473-472(I)</t>
  </si>
  <si>
    <t>473(1пк)-
472(10-7пк)</t>
  </si>
  <si>
    <t>Шевченко-Соль,472(I)</t>
  </si>
  <si>
    <t>472(6-3пк)</t>
  </si>
  <si>
    <t>Шевчен.-Соль,472-471(I)</t>
  </si>
  <si>
    <t>472(2-1пк)-471(10-9пк)</t>
  </si>
  <si>
    <t>Шевченко-Соль,471(I)</t>
  </si>
  <si>
    <t>471(8-4пк)</t>
  </si>
  <si>
    <t>Шевчен.-Соль,471-470(I)</t>
  </si>
  <si>
    <t>471(3-1пк)-470(10-8пк)</t>
  </si>
  <si>
    <t>Шевченко-Соль,470(I)</t>
  </si>
  <si>
    <t>470(7-3пк)</t>
  </si>
  <si>
    <t>Шевчен.-Соль,470-469(I)</t>
  </si>
  <si>
    <t>470(2-1пк)-469(10-9пк)</t>
  </si>
  <si>
    <t>ст.Соль,469(I)</t>
  </si>
  <si>
    <t>Шевченко – Сіль
ст. Сіль</t>
  </si>
  <si>
    <t>469(8-1пк)</t>
  </si>
  <si>
    <t>ст.Соль,469(II)</t>
  </si>
  <si>
    <t>ст. Сіль
Сіль – Шевченко</t>
  </si>
  <si>
    <t>469(1-10пк)-470(1пк)</t>
  </si>
  <si>
    <t>Соль-Шевченко,470(II)</t>
  </si>
  <si>
    <t>470(2-6пк)</t>
  </si>
  <si>
    <t>Соль-Шевчен.,470-471(II)</t>
  </si>
  <si>
    <t>470(7-10пк)-471(1-2пк)</t>
  </si>
  <si>
    <t>Соль-Шевченко,471(II)</t>
  </si>
  <si>
    <t>471(3-5пк)</t>
  </si>
  <si>
    <t>471(6-9пк)</t>
  </si>
  <si>
    <t>Соль-Шевченко,472(II)</t>
  </si>
  <si>
    <t>471(1пк)-472(1-4пк)</t>
  </si>
  <si>
    <t>472(4-8пк)</t>
  </si>
  <si>
    <t>Соль-Шевчен.,472-473(II)</t>
  </si>
  <si>
    <t>472(9-10пк)-473(1-3пк)</t>
  </si>
  <si>
    <t>Соль-Шевченко,473(II)</t>
  </si>
  <si>
    <t>473(4-8пк)</t>
  </si>
  <si>
    <t>Соль-Шевчен.,473-474(II)</t>
  </si>
  <si>
    <t>473(9-10пк)-474(1-4пк)</t>
  </si>
  <si>
    <t>ст.Шевченко,474-475(II)</t>
  </si>
  <si>
    <t>Сіль – Шевченко
ст. Швченко</t>
  </si>
  <si>
    <t>474(5-10пк)-475(1-4пк)</t>
  </si>
  <si>
    <t>ст.Шевченко,475-476(II)</t>
  </si>
  <si>
    <t>475(5-10пк)</t>
  </si>
  <si>
    <t>ст.Шевченко,476(II)</t>
  </si>
  <si>
    <t>ст. Шевченко
Шевченко-Малоільшевська</t>
  </si>
  <si>
    <t>476(1-8пк)</t>
  </si>
  <si>
    <t>Шевч.-Малоил.,476-477(II)</t>
  </si>
  <si>
    <t>Шевченко-Малоільшевська</t>
  </si>
  <si>
    <t>476(9-10пк)-477(1-3пк)</t>
  </si>
  <si>
    <t>Шевч.-Малоильш.,477(II)</t>
  </si>
  <si>
    <t>477(4-8пк)</t>
  </si>
  <si>
    <t>Шевч.-Малоил.,477-478(II)</t>
  </si>
  <si>
    <t>477(9-10пк)-478(1-3пк)</t>
  </si>
  <si>
    <t>Шевч.-Малоильш.,478(II)</t>
  </si>
  <si>
    <t>478(4-8пк)</t>
  </si>
  <si>
    <t>Шевч.-Малоильш.,479(II)</t>
  </si>
  <si>
    <t>478(9-10пк)-479(1-4пк)</t>
  </si>
  <si>
    <t>479(5-9пк)</t>
  </si>
  <si>
    <t>п.Малоильшевская,480(II)</t>
  </si>
  <si>
    <t>Шевченко – пост Мало-ільшевська – Бахмут</t>
  </si>
  <si>
    <t>479(10пк)-480(1-6пк)</t>
  </si>
  <si>
    <t>Малоил.-Бахмут,480-481(II)</t>
  </si>
  <si>
    <t>480(7-10пк)-481(1пк)</t>
  </si>
  <si>
    <t>Малоильш.-Бахмут,481(II)</t>
  </si>
  <si>
    <t>481(2-6пк)</t>
  </si>
  <si>
    <t>Малоил.-Бахмут,481-482(II)</t>
  </si>
  <si>
    <t>481(7-10пк)-482(1пк)</t>
  </si>
  <si>
    <t>Малоильш.-Бахмут,482(II)</t>
  </si>
  <si>
    <t>482(2-6пк)</t>
  </si>
  <si>
    <t>Малоил.-Бахмут,482-483(II)</t>
  </si>
  <si>
    <t>Малоільшевська – Бахмут
ст. Бахмут</t>
  </si>
  <si>
    <t>482(7-10пк)-483(1-2пк)</t>
  </si>
  <si>
    <t>ст.Бахмут,483(II)</t>
  </si>
  <si>
    <t>483(3-10пк)</t>
  </si>
  <si>
    <t>ст.Бахмут,484(II)</t>
  </si>
  <si>
    <t>484(1-7пк)</t>
  </si>
  <si>
    <t>Бахмут-Курдюм.,484-485(II)</t>
  </si>
  <si>
    <t>ст. Бахмут
Бахмут – Курдюмівка</t>
  </si>
  <si>
    <t>484(8-10пк)-485(1-4пк)</t>
  </si>
  <si>
    <t>Бахмут-Курдюм.,485-486(II)</t>
  </si>
  <si>
    <t>485(5-10пк)-486(1пк)</t>
  </si>
  <si>
    <t>Бахмут-Курдюмовка,486(II)</t>
  </si>
  <si>
    <t>486(2-9пк)</t>
  </si>
  <si>
    <t>Бахмут-Курдюм.,486-487(II)</t>
  </si>
  <si>
    <t>486(10пк)-487(1-7пк)</t>
  </si>
  <si>
    <t>Бахмут-Курдюм.,487-488(II)</t>
  </si>
  <si>
    <t>487(8-10пк)-488(1-5пк)</t>
  </si>
  <si>
    <t>Бахмут-Курдюмовка,489(II)</t>
  </si>
  <si>
    <t>488(6-10пк)-489(1-2пк)</t>
  </si>
  <si>
    <t>Бахмут-Курдюмовка,490(II)</t>
  </si>
  <si>
    <t>489(3-9пк)</t>
  </si>
  <si>
    <t>Бахмут-Курдюм.,489-490(II)</t>
  </si>
  <si>
    <t>489(10пк)-490(1-5пк)</t>
  </si>
  <si>
    <t>Бахмут-Курдюм.,490-491(II)</t>
  </si>
  <si>
    <t>490(6-10пк)-491(1-2пк)</t>
  </si>
  <si>
    <t>Бахмут-Курдюмовка,491(II)</t>
  </si>
  <si>
    <t>491(3-8пк)</t>
  </si>
  <si>
    <t>Бахмут-Курдюм.,491-492(II)</t>
  </si>
  <si>
    <t>491(9-10пк)-492(1-5пк)</t>
  </si>
  <si>
    <t>Бахмут-Курдюм.,492-493(II)</t>
  </si>
  <si>
    <t>492(6-10пк)-493(1-2пк)</t>
  </si>
  <si>
    <t>Бахмут-Курдюмовка,493(II)</t>
  </si>
  <si>
    <t>493(3-9пк)</t>
  </si>
  <si>
    <t>Бахмут-Курдюм.,493-494(II)</t>
  </si>
  <si>
    <t>493(10пк)-494(1-8пк)</t>
  </si>
  <si>
    <t>Бахмут-Курдюм.,494-495(II)</t>
  </si>
  <si>
    <t>494(9-10пк)-495(1-5пк)</t>
  </si>
  <si>
    <t>Бахмут-Курдюмовка,495(II)</t>
  </si>
  <si>
    <t>495(6-10пк)</t>
  </si>
  <si>
    <t>Бахмут-Курдюмовка,496(II)</t>
  </si>
  <si>
    <t>496(1-5пк)</t>
  </si>
  <si>
    <t>496(6-10пк)</t>
  </si>
  <si>
    <t>Бахмут-Курдюмовка,497(II)</t>
  </si>
  <si>
    <t>497(1-5пк)</t>
  </si>
  <si>
    <t>497(6-10пк)</t>
  </si>
  <si>
    <t>Бахмут-Курдюмовка,498(II)</t>
  </si>
  <si>
    <t>498(1-5пк)</t>
  </si>
  <si>
    <t>498(6-10пк)</t>
  </si>
  <si>
    <t>ст.Курдюмовка,499(II)</t>
  </si>
  <si>
    <t>499(1-7пк)</t>
  </si>
  <si>
    <t>Майорська – Курдюмівка
ст. Курдюмівка</t>
  </si>
  <si>
    <t>501(2-1пк)
499(8-10пк)</t>
  </si>
  <si>
    <t>ст.Курдюмовка,500(II)</t>
  </si>
  <si>
    <t>500(1-5пк)</t>
  </si>
  <si>
    <t>500(6-10пк)</t>
  </si>
  <si>
    <t>Курдюм.-Майорск.501(II)</t>
  </si>
  <si>
    <t>501(1-5пк)</t>
  </si>
  <si>
    <t>Курдюм.-Майор.500-501(II)</t>
  </si>
  <si>
    <t>500(8-10пк)-501(1-4пк)</t>
  </si>
  <si>
    <t>Курдюм.-Майор.501-502(II)</t>
  </si>
  <si>
    <t>501(5-10пк)-502(1-2пк)</t>
  </si>
  <si>
    <t>Курдюм.-Майорск.502(II)</t>
  </si>
  <si>
    <t>502(3-10пк)</t>
  </si>
  <si>
    <t>Лиман-Брусин,1-2(ІІ)</t>
  </si>
  <si>
    <t>ст. Лиман
Лиман – Брусин</t>
  </si>
  <si>
    <t>1(8-10пк)-2(1-4пк)</t>
  </si>
  <si>
    <t>Лиман-Брусин,2(ІІ)</t>
  </si>
  <si>
    <t>Лиман – Брусин</t>
  </si>
  <si>
    <t>2(5-9пк)</t>
  </si>
  <si>
    <t>Лиман-Брусин,2-3(ІІ)</t>
  </si>
  <si>
    <t>2(10пк)-3(1-3пк)</t>
  </si>
  <si>
    <t>Лиман-Брусин,3(ІІ)</t>
  </si>
  <si>
    <t>3(4-7пк)</t>
  </si>
  <si>
    <t>Лиман-Брусин,3-4(ІІ)</t>
  </si>
  <si>
    <t>3(8-10пк)-4(1-3пк)</t>
  </si>
  <si>
    <t>Лиман-Брусин,4(ІІ)</t>
  </si>
  <si>
    <t>4(4-8пк)</t>
  </si>
  <si>
    <t>Лиман-Брусин,4-5(ІІ)</t>
  </si>
  <si>
    <t>4(9-10пк)-5(1-3пк)</t>
  </si>
  <si>
    <t>Лиман-Брусин,5(ІІ)</t>
  </si>
  <si>
    <t>5(4-9пк)</t>
  </si>
  <si>
    <t>Лиман-Брусин,5-6(ІІ)</t>
  </si>
  <si>
    <t>5(10пк)-6(1-4пк)</t>
  </si>
  <si>
    <t>Лиман-Брусин,6(ІІ)</t>
  </si>
  <si>
    <t>6(5-9пк)</t>
  </si>
  <si>
    <t>Лиман-Брусин,6-7(ІІ)</t>
  </si>
  <si>
    <t>6(10пк)-7(1-4пк)</t>
  </si>
  <si>
    <t>Лиман-Брусин,7(ІІ)</t>
  </si>
  <si>
    <t>7(5-8пк)</t>
  </si>
  <si>
    <t>Лиман-Брусин,7-8(ІІ)</t>
  </si>
  <si>
    <t>7(9-10пк)-8(1-2пк)</t>
  </si>
  <si>
    <t>Лиман-Брусин,8(ІІ)</t>
  </si>
  <si>
    <t>Лиман – Брусин
ст. Брусин</t>
  </si>
  <si>
    <t>парна
III</t>
  </si>
  <si>
    <t>8(3-7пк)</t>
  </si>
  <si>
    <t>ст.Брусин,8-9(ІI)</t>
  </si>
  <si>
    <t>ст. Брусин</t>
  </si>
  <si>
    <t>III</t>
  </si>
  <si>
    <t>8(8-10пк)-9(1-3пк)</t>
  </si>
  <si>
    <t>ст.Брусин,9(ІIІ)</t>
  </si>
  <si>
    <t>9(4-8пк)</t>
  </si>
  <si>
    <t>ст.Брусин,8(o)</t>
  </si>
  <si>
    <t>8(4-6пк)</t>
  </si>
  <si>
    <t>Брусин-Придон.,8(о)</t>
  </si>
  <si>
    <t>Брусин – Придонецька</t>
  </si>
  <si>
    <t>8(7-10пк)</t>
  </si>
  <si>
    <t>Брусин-Придон.,9(о)</t>
  </si>
  <si>
    <t>9(1-4пк)</t>
  </si>
  <si>
    <t>9(5-9пк)</t>
  </si>
  <si>
    <t>Брусин-Придон.,10(о)</t>
  </si>
  <si>
    <t>Брусин – Придонецька
ст. Придонецька</t>
  </si>
  <si>
    <t>10(1-6пк)</t>
  </si>
  <si>
    <t>ст.Придонецкая,10-11(II)</t>
  </si>
  <si>
    <t>10(7-10пк)-11(1-2пк)</t>
  </si>
  <si>
    <t>ст.Придонецкая,11(II)</t>
  </si>
  <si>
    <t>11(3-6пк)</t>
  </si>
  <si>
    <t>ст.Придонецкая,11-12(II)</t>
  </si>
  <si>
    <t>11(7-10пк)-12(1пк)</t>
  </si>
  <si>
    <t>ст.Придонецкая,12(II)</t>
  </si>
  <si>
    <t>12(2-6пк)</t>
  </si>
  <si>
    <t>ст.Придонецкая,12-13(II)</t>
  </si>
  <si>
    <t>12(7-10пк)-13(1пк)</t>
  </si>
  <si>
    <t>ст.Придонецкая,13(II)</t>
  </si>
  <si>
    <t>13(2-5пк)</t>
  </si>
  <si>
    <t>13(6-10пк)</t>
  </si>
  <si>
    <t>ст.Придонецкая,14(II)</t>
  </si>
  <si>
    <t>14(1-3пк)</t>
  </si>
  <si>
    <t>14(4-6пк)</t>
  </si>
  <si>
    <t>Прид.-Слав.Кур.14-15(II)</t>
  </si>
  <si>
    <t>14(7-10пк)-15(1-3пк)</t>
  </si>
  <si>
    <t>Прид.-Слав.Кур.15(II)</t>
  </si>
  <si>
    <t>ст. Придонецька
Придонецька – Слов.Курорт</t>
  </si>
  <si>
    <t>15(4-7пк)</t>
  </si>
  <si>
    <t>Прид.-Слав.Кур.15-16(II)</t>
  </si>
  <si>
    <t>Придонецька – Слов.Курорт</t>
  </si>
  <si>
    <t>15(8-10пк)-16(1пк)</t>
  </si>
  <si>
    <t>Придон.-Слав.Кур.16(II)</t>
  </si>
  <si>
    <t>16(2-3пк)</t>
  </si>
  <si>
    <t>16(4-6пк)</t>
  </si>
  <si>
    <t>16(7-10пк)</t>
  </si>
  <si>
    <t>Придон.-Слав.Кур.17(II)</t>
  </si>
  <si>
    <t>17(1-4пк)</t>
  </si>
  <si>
    <t>17(5-7пк)</t>
  </si>
  <si>
    <t>17(8-9пк)</t>
  </si>
  <si>
    <t>Придон.-Слав.Кур.17(II,I)</t>
  </si>
  <si>
    <t>17(10пк)
17(10-9пк)</t>
  </si>
  <si>
    <t>Слав.Кур.-Придон.17(I)</t>
  </si>
  <si>
    <t>Слов.Курорт – Придонецька</t>
  </si>
  <si>
    <t>17(8-6пк)</t>
  </si>
  <si>
    <t>17(5-3пк)</t>
  </si>
  <si>
    <t>Слав.Кур.-Прид.17-16(I)</t>
  </si>
  <si>
    <t>17(2-1пк)-16(10пк)</t>
  </si>
  <si>
    <t>Слав.Кур.-Придон.16(I)</t>
  </si>
  <si>
    <t>16(9-7пк)</t>
  </si>
  <si>
    <t>16(6-5пк)</t>
  </si>
  <si>
    <t>16(4-2пк)</t>
  </si>
  <si>
    <t>Слав.Кур.-Прид.16-15(I)</t>
  </si>
  <si>
    <t>16(1пк)-15(10-9пк)</t>
  </si>
  <si>
    <t>Слав.Кур.-Придон.15(I)</t>
  </si>
  <si>
    <t>15(8-5пк)</t>
  </si>
  <si>
    <t>ст.Придонецкая, 15(I)</t>
  </si>
  <si>
    <t>15(4-1пк)</t>
  </si>
  <si>
    <t>ст.Придонецкая, 14(I)</t>
  </si>
  <si>
    <t>14(10-5пк)</t>
  </si>
  <si>
    <t>14(4-1пк)</t>
  </si>
  <si>
    <t>ст.Придонецкая, 13(I)</t>
  </si>
  <si>
    <t>13(10-5пк)</t>
  </si>
  <si>
    <t>13(4-1пк)</t>
  </si>
  <si>
    <t>ст.Придонецкая, 12(I)</t>
  </si>
  <si>
    <t>12(10-8пк)</t>
  </si>
  <si>
    <t>12(7-3пк)</t>
  </si>
  <si>
    <t>ст.Придонецкая,12-11(I)</t>
  </si>
  <si>
    <t>12(2-1пк)-11(10-9пк)</t>
  </si>
  <si>
    <t>ст.Придонецкая, 11(I)</t>
  </si>
  <si>
    <t>11(8-5пк)</t>
  </si>
  <si>
    <t>11(4-1пк)</t>
  </si>
  <si>
    <t>ст.Прид.10(I),Брусин,8(I)</t>
  </si>
  <si>
    <t>ст. Придонецька
ст. Брусин</t>
  </si>
  <si>
    <t>10(10-9пк),8(4-1пк)</t>
  </si>
  <si>
    <t>ст.Брусин, 7(I)</t>
  </si>
  <si>
    <t>7(10-6пк)</t>
  </si>
  <si>
    <t>7(5-1пк)</t>
  </si>
  <si>
    <t>Брусин-Лиман, 6(I)</t>
  </si>
  <si>
    <t>ст. Брусин
Брусин – Лиман</t>
  </si>
  <si>
    <t>6(10-7пк)</t>
  </si>
  <si>
    <t>Брусин – Лиман</t>
  </si>
  <si>
    <t>6(6-3пк)</t>
  </si>
  <si>
    <t>Брусин-Лиман,6-5(I)</t>
  </si>
  <si>
    <t>6(2-1пк)-5(10-8пк)</t>
  </si>
  <si>
    <t>Брусин-Лиман,5(I)</t>
  </si>
  <si>
    <t>5(7-4пк)</t>
  </si>
  <si>
    <t>Брусин-Лиман,5-4(I)</t>
  </si>
  <si>
    <t>5(3-1пк)-4(10-9пк)</t>
  </si>
  <si>
    <t>Брусин-Лиман,4(I)</t>
  </si>
  <si>
    <t>4(8-5пк)</t>
  </si>
  <si>
    <t>4(4-1пк)</t>
  </si>
  <si>
    <t>Брусин-Лиман,3(I)</t>
  </si>
  <si>
    <t>3(10-8пк)</t>
  </si>
  <si>
    <t>3(7-3пк)</t>
  </si>
  <si>
    <t>3(2-1пк)</t>
  </si>
  <si>
    <t>Брусин-Лиман,2(I)</t>
  </si>
  <si>
    <t>2(10-9пк)</t>
  </si>
  <si>
    <t>2(8-7пк)</t>
  </si>
  <si>
    <t>2(6-5пк)</t>
  </si>
  <si>
    <t>ст.Лиман,2(I)</t>
  </si>
  <si>
    <t>2(4-3пк)</t>
  </si>
  <si>
    <t>2(2-1пк)</t>
  </si>
  <si>
    <t>ст.Лиман,1(I)</t>
  </si>
  <si>
    <t>1(10-7пк)</t>
  </si>
  <si>
    <t>ст.Северск на Нов.0(IV)</t>
  </si>
  <si>
    <t>ст.Сіверськ на Новозолот-ку</t>
  </si>
  <si>
    <t>парна-IV</t>
  </si>
  <si>
    <t>0(6-8пк)</t>
  </si>
  <si>
    <t>0(9-10пк)</t>
  </si>
  <si>
    <t>ст.Северск на Нов.1(IV)</t>
  </si>
  <si>
    <t>1(1-2пк)</t>
  </si>
  <si>
    <t>Северск на Нов.1(IV,II)</t>
  </si>
  <si>
    <t>IV,II</t>
  </si>
  <si>
    <t>1(3-9пк)</t>
  </si>
  <si>
    <t>Северск на Нов.1-2(II)</t>
  </si>
  <si>
    <t>1(10пк)-2(1пк)</t>
  </si>
  <si>
    <t>ст.Северск на Нов.2(II)</t>
  </si>
  <si>
    <t>2(2-3пк)</t>
  </si>
  <si>
    <t>2(4-5пк)</t>
  </si>
  <si>
    <t>Северск на Нов.2-3(од)</t>
  </si>
  <si>
    <t>2(6-10пк)-3(1пк)</t>
  </si>
  <si>
    <t>ст.Северск на Нов.3(од)</t>
  </si>
  <si>
    <t>3(2-6пк)</t>
  </si>
  <si>
    <t>Северск-Новозол.3-4(од)</t>
  </si>
  <si>
    <t>ст.Сіверськ на Новозолот-ку
Сіверськ – Новозолотарівка</t>
  </si>
  <si>
    <t>3(7-10пк)-4(1-3пк)</t>
  </si>
  <si>
    <t>Северск-Новозол.4-5(од)</t>
  </si>
  <si>
    <t>4(4-10пк)-5(1пк)</t>
  </si>
  <si>
    <t>Северск-Новозол.5(од)</t>
  </si>
  <si>
    <t>5(2-6пк)</t>
  </si>
  <si>
    <t>Северск-Новозол.5-6(од)</t>
  </si>
  <si>
    <t>5(7-10пк)-6(1пк)</t>
  </si>
  <si>
    <t>Северск-Новозол.6(од)</t>
  </si>
  <si>
    <t>6(2-9пк)</t>
  </si>
  <si>
    <t>Северск-Новозол.6-7(од)</t>
  </si>
  <si>
    <t>6(10пк)-7(1-8пк)</t>
  </si>
  <si>
    <t>Северск-Новозол.7-8(од)</t>
  </si>
  <si>
    <t>7(9-10пк)-8(1-3пк)</t>
  </si>
  <si>
    <t>Северск-Новозол.8(од)</t>
  </si>
  <si>
    <t>8(4-10пк)</t>
  </si>
  <si>
    <t>Северск-Новозол.9(од)</t>
  </si>
  <si>
    <t>9(1-5пк)</t>
  </si>
  <si>
    <t>9(6-10пк)</t>
  </si>
  <si>
    <t>Северск-Новозол.10(од)</t>
  </si>
  <si>
    <t>10(1-5пк)</t>
  </si>
  <si>
    <t>Северск-Нов.10-11(од)</t>
  </si>
  <si>
    <t>10(6-10пк)-11(1-8пк)</t>
  </si>
  <si>
    <t>Северск-Нов.11-12(од)</t>
  </si>
  <si>
    <t>11(9-10пк)-12(1-3пк)</t>
  </si>
  <si>
    <t>Северск-Новозол.12(од)</t>
  </si>
  <si>
    <t>12(4-6пк)</t>
  </si>
  <si>
    <t>12(7-10пк)</t>
  </si>
  <si>
    <t>Северск-Новозол.13(од)</t>
  </si>
  <si>
    <t>13(1-7пк)</t>
  </si>
  <si>
    <t>Северск-Нов.13-14(од)</t>
  </si>
  <si>
    <t>13(8-10пк)-14(1-2пк)</t>
  </si>
  <si>
    <t>Северск-Новозол.14(од)</t>
  </si>
  <si>
    <t>14(3-10пк)</t>
  </si>
  <si>
    <t>Северск-Новозол.15(од)</t>
  </si>
  <si>
    <t>15(1-5пк)</t>
  </si>
  <si>
    <t>Северск-Нов.15-16(од)</t>
  </si>
  <si>
    <t>15(6-10пк)-16(1пк)</t>
  </si>
  <si>
    <t>Северск-Новозол.16(од)</t>
  </si>
  <si>
    <t>16(2-10пк)</t>
  </si>
  <si>
    <t>ст.Северск на Ныр.0(VI)</t>
  </si>
  <si>
    <t>ст.Сіверськ на Ниркове</t>
  </si>
  <si>
    <t>ст.Северск на Ныр.1(VI)</t>
  </si>
  <si>
    <t>1(3-6пк)</t>
  </si>
  <si>
    <t>Северск-Нырково,1-2(од)</t>
  </si>
  <si>
    <t>ст.Сіверськ на Ниркове
Сіверськ – Ниркове</t>
  </si>
  <si>
    <t>парна-VI
однокол.</t>
  </si>
  <si>
    <t>1(7-10пк)-
2(1-4пк)</t>
  </si>
  <si>
    <t>Северск-Нырково,2(од)</t>
  </si>
  <si>
    <t>2(5-10пк)</t>
  </si>
  <si>
    <t>Север.-Ямп.,437,438(II)</t>
  </si>
  <si>
    <t>438(5пк)-3ст.
437(9пк)-3ст.</t>
  </si>
  <si>
    <t>Северск-Ямполь,445(II)</t>
  </si>
  <si>
    <t>445(10пк)</t>
  </si>
  <si>
    <t>ст.Ямполь,437(II)</t>
  </si>
  <si>
    <t>437(6пк)</t>
  </si>
  <si>
    <t>Сев.-Шевч.,472(I),452(II)</t>
  </si>
  <si>
    <t>Сіль – Шевченко
Зовна – Сіверськ</t>
  </si>
  <si>
    <t>472(2пк)-1ст.,
452(5пк)-3ст.</t>
  </si>
  <si>
    <t>Северск-Ямполь,446(II)</t>
  </si>
  <si>
    <t>446(1пк)</t>
  </si>
  <si>
    <t>Зовн.-Север.,457,456(II)</t>
  </si>
  <si>
    <t>457(3пк)-3ст.
456(9пк)-3ст.</t>
  </si>
  <si>
    <t>Зовная-Северск,458(II)</t>
  </si>
  <si>
    <t>458(1пк)-3ст.
458(2пк)-2ст.</t>
  </si>
  <si>
    <t>Зовн.-Север.,451,452(II)</t>
  </si>
  <si>
    <t>451(10пк)-4ст.
452(7пк)-3ст.</t>
  </si>
  <si>
    <t>Зовная-Северск,451(II)</t>
  </si>
  <si>
    <t>451(9пк)</t>
  </si>
  <si>
    <t>ст.Соль,468(II),467(I)</t>
  </si>
  <si>
    <t>468(1пк)-2ст.
467(6пк)-3ст.</t>
  </si>
  <si>
    <t>Шев.П.5;Шев.-Бах.,480(I)</t>
  </si>
  <si>
    <t>ст. Шевченко
Шевченко – Бахмут</t>
  </si>
  <si>
    <t>5
непарна</t>
  </si>
  <si>
    <t>3ст.
480(7пк)-2ст.</t>
  </si>
  <si>
    <t>ст.Шевченко,П.4</t>
  </si>
  <si>
    <t>ст.Бахмут,П.13</t>
  </si>
  <si>
    <t>Мал.-Шевч.478(II),477(I)</t>
  </si>
  <si>
    <t>Малоільшевська –
Шевченко</t>
  </si>
  <si>
    <t>478(2пк)-3ст.
477(7пк)-3ст.</t>
  </si>
  <si>
    <t>ст.Бахмут,П.14</t>
  </si>
  <si>
    <t>ст.Лиман,ПЮО,П.25</t>
  </si>
  <si>
    <t>ст. Лиман, ПЮО</t>
  </si>
  <si>
    <t>ст.Лиман,425(I)</t>
  </si>
  <si>
    <t>425(8пк)</t>
  </si>
  <si>
    <t>ст.Лиман,ДАРМ</t>
  </si>
  <si>
    <t>тупик</t>
  </si>
  <si>
    <t>ДАРМ</t>
  </si>
  <si>
    <t>ст.Святогорск,2(16),(13)</t>
  </si>
  <si>
    <t>16
13</t>
  </si>
  <si>
    <t>2(2пк)-3ст.
2ст.</t>
  </si>
  <si>
    <t>ст.Святогорск,74(од);П.3</t>
  </si>
  <si>
    <t>однокол.
3</t>
  </si>
  <si>
    <t>74(3пк)-2ст.
2(+3)ст.</t>
  </si>
  <si>
    <t>ст.Святогорск,П.13</t>
  </si>
  <si>
    <t>болванки</t>
  </si>
  <si>
    <t>Святогорск-Букино,398(II)</t>
  </si>
  <si>
    <t>398(5пк)</t>
  </si>
  <si>
    <t>Букино-Святогорск,396(I)</t>
  </si>
  <si>
    <t>395(10пк)-1ст.
396(1пк)-5ст.</t>
  </si>
  <si>
    <t>ст.Святогорск,2(16)</t>
  </si>
  <si>
    <t>2(2пк)</t>
  </si>
  <si>
    <t>Форп.-Свят.,412(II),414(I)</t>
  </si>
  <si>
    <t>Форпостна – Святогірськ
ст. Форпостна</t>
  </si>
  <si>
    <t>412(10пк)-2ст.
414(5пк)-2ст.</t>
  </si>
  <si>
    <t>ст.Форпостная,413(I),П.4</t>
  </si>
  <si>
    <t>непарна
4</t>
  </si>
  <si>
    <t>413(6пк)-2ст.
2ст.</t>
  </si>
  <si>
    <t>Святог.-Форпост.,406(I)</t>
  </si>
  <si>
    <t>406(6пк)-4ст.
406(4пк)-2ст.</t>
  </si>
  <si>
    <t>406(6пк)</t>
  </si>
  <si>
    <t>Святог.-Форпост.,407(I)</t>
  </si>
  <si>
    <t>407(2пк)</t>
  </si>
  <si>
    <t>Святог.-Форпост.,408(I)</t>
  </si>
  <si>
    <t>408(9пк)-4ст.
408(1пк)-2ст.</t>
  </si>
  <si>
    <t>Свят.-Форп.,408,409(I)</t>
  </si>
  <si>
    <t>408(1пк)-2ст.
409(2пк)-4ст.</t>
  </si>
  <si>
    <t>Свят.-Форп.,406,409(I)</t>
  </si>
  <si>
    <t>406(4пк)-2ст.
409(6-7пк)-4ст.</t>
  </si>
  <si>
    <t>Северск-Нырково,20(од)</t>
  </si>
  <si>
    <t>20(3пк)</t>
  </si>
  <si>
    <t>Северск-Нырково,21(од)</t>
  </si>
  <si>
    <t>21(4пк)</t>
  </si>
  <si>
    <t>Лиман,ПЮС;Прид.,13(I)</t>
  </si>
  <si>
    <t>ст. Лиман, ПЮС
ст. Придонецька</t>
  </si>
  <si>
    <t>3 витяж.
непарна</t>
  </si>
  <si>
    <t xml:space="preserve">
13(7пк)</t>
  </si>
  <si>
    <t>зварні стики
вторинний контроль</t>
  </si>
  <si>
    <t>Лиман,ПЮС,ПСС</t>
  </si>
  <si>
    <t>ст. Лиман, ПЮС
ст. Лиман, ПСС</t>
  </si>
  <si>
    <t>60
пкз</t>
  </si>
  <si>
    <t xml:space="preserve">
Р-43</t>
  </si>
  <si>
    <t>ст.Придонецкая,14-16(II,I)</t>
  </si>
  <si>
    <t>14(3пк),15(10пк),16(2пк)</t>
  </si>
  <si>
    <t>вторинний контроль</t>
  </si>
  <si>
    <t>13(3пк)</t>
  </si>
  <si>
    <t>Святогор.-Тропа,75(o)</t>
  </si>
  <si>
    <t>75(1-2пк)</t>
  </si>
  <si>
    <t>Лиман-Брусин,5(II)</t>
  </si>
  <si>
    <t>II</t>
  </si>
  <si>
    <t>5(3пк)</t>
  </si>
  <si>
    <t>Сев.,Бах.,446,482,484(I)</t>
  </si>
  <si>
    <t>ст. Сіверськ
ст. Бахмут</t>
  </si>
  <si>
    <t>непарна
непарна</t>
  </si>
  <si>
    <t>446(6,10пк)
482(8),484(8пк)</t>
  </si>
  <si>
    <t>Север.-Нырково,1-2(од)</t>
  </si>
  <si>
    <t>1-2</t>
  </si>
  <si>
    <t>Север.-Зовная,452-454(II)</t>
  </si>
  <si>
    <t>452-454</t>
  </si>
  <si>
    <t>Север.-Зовная,455-458(II)</t>
  </si>
  <si>
    <t>455-458</t>
  </si>
  <si>
    <t>Зовная-Соль,459-463(II)</t>
  </si>
  <si>
    <t>459-463</t>
  </si>
  <si>
    <t>Зовная-Соль,464-468(II)</t>
  </si>
  <si>
    <t>464-468</t>
  </si>
  <si>
    <t>Соль-Зовная,468-464(I)</t>
  </si>
  <si>
    <t>468-464</t>
  </si>
  <si>
    <t>Соль-Зовная,463-459(I)</t>
  </si>
  <si>
    <t>463-459</t>
  </si>
  <si>
    <t>ст.Лиман,425(II)</t>
  </si>
  <si>
    <t>ст.Лиман (на Форпостну)</t>
  </si>
  <si>
    <t>425(7пк)</t>
  </si>
  <si>
    <t>Лиман,424-425(I);ПСО</t>
  </si>
  <si>
    <t>Лиман: Парк Півд.Відправ., Парк Пініч.Відправлення</t>
  </si>
  <si>
    <t>424(7пк),425(2,3,7пк)-8ст.
6ст.</t>
  </si>
  <si>
    <t>перехідні рейки
314/308, 300/188, 302/226</t>
  </si>
  <si>
    <t>ст.Новозол-ка,П.9,10,11</t>
  </si>
  <si>
    <t>ст. Новозолотарівка</t>
  </si>
  <si>
    <t>9,10,11</t>
  </si>
  <si>
    <t>24/30, перехідні рейки</t>
  </si>
  <si>
    <t>ст.Святогорск,401(I)</t>
  </si>
  <si>
    <t>401(6-10пк)</t>
  </si>
  <si>
    <t>перехідні рейки</t>
  </si>
  <si>
    <t>Техніч.обслуговування (ТО)</t>
  </si>
  <si>
    <t>ТР</t>
  </si>
  <si>
    <t>Поточний  ремонт   (ПР)</t>
  </si>
  <si>
    <t>ТЗ</t>
  </si>
  <si>
    <t>Технічне  заняття   (ТЗ)</t>
  </si>
  <si>
    <t>8:00 - 17:00</t>
  </si>
  <si>
    <t>ТО, ТЗ</t>
  </si>
  <si>
    <t>Техніч.обсл.і заняття(ТО,ТЗ)</t>
  </si>
  <si>
    <t>МК</t>
  </si>
  <si>
    <t>Медична комісія   (МК)</t>
  </si>
  <si>
    <t>СБ</t>
  </si>
  <si>
    <t>Снігоборотьба   (СБ)</t>
  </si>
  <si>
    <t>Вихідний</t>
  </si>
  <si>
    <t>БС</t>
  </si>
  <si>
    <t>Відп.без збереж. з/пл. (БЗ)</t>
  </si>
  <si>
    <t>Немає</t>
  </si>
  <si>
    <t xml:space="preserve"> Резерв</t>
  </si>
  <si>
    <t>неп/пар</t>
  </si>
  <si>
    <t>4к, неп</t>
  </si>
  <si>
    <t>4к, пар</t>
  </si>
  <si>
    <t>одн, 2к</t>
  </si>
  <si>
    <t>одн, 3к</t>
  </si>
  <si>
    <t>одн, 4к</t>
  </si>
  <si>
    <t>одн, 5к</t>
  </si>
  <si>
    <t>одн, 2к, 3к</t>
  </si>
  <si>
    <t>3,4,5,15,16,18,20</t>
  </si>
  <si>
    <t xml:space="preserve">4,5,42,43 </t>
  </si>
  <si>
    <t>3,4,5,6,7,8,9</t>
  </si>
  <si>
    <t>3,4,5,6</t>
  </si>
  <si>
    <t>х - Ремонт</t>
  </si>
  <si>
    <t>р - Резерв</t>
  </si>
  <si>
    <t>т - Т.О.</t>
  </si>
  <si>
    <t>Інтерсіті</t>
  </si>
  <si>
    <t>+</t>
  </si>
  <si>
    <t>-</t>
  </si>
  <si>
    <t xml:space="preserve">З В І Т </t>
  </si>
  <si>
    <t>Дата</t>
  </si>
  <si>
    <t xml:space="preserve">Кількість засобів рейкової дефектоскопії </t>
  </si>
  <si>
    <t>Працювало засобів рейкової дефектоскопії згідно з графіком</t>
  </si>
  <si>
    <t>Перевірено</t>
  </si>
  <si>
    <t>Виявлено при перевірці</t>
  </si>
  <si>
    <t>Матеріали</t>
  </si>
  <si>
    <t>Середньодобова температура рейок  по залізниці</t>
  </si>
  <si>
    <t>Перевірка кількості ЗРД</t>
  </si>
  <si>
    <t>По бугалтерському  обліку</t>
  </si>
  <si>
    <t>Необхідних щодо виконання періодичності перевірки рейок згідно ЦП-0264</t>
  </si>
  <si>
    <t>В резерві</t>
  </si>
  <si>
    <t>Перебувають в запасі і потребують списання</t>
  </si>
  <si>
    <t>В ремонті</t>
  </si>
  <si>
    <t>На технічному навчанні</t>
  </si>
  <si>
    <t>На технічному обслуговуванні</t>
  </si>
  <si>
    <t>Інші</t>
  </si>
  <si>
    <t>К-ть дектоскопних засобів обладнаних GPS/GSM пристроями</t>
  </si>
  <si>
    <t>Працювало дефектоскопних засобів обладнаних GPS/GSM пристроями</t>
  </si>
  <si>
    <t>З суцільного контролю рейок</t>
  </si>
  <si>
    <t>З перевірки стрілочних переводів згідно графіка</t>
  </si>
  <si>
    <t>З перевірки стрілочних переводів фактично</t>
  </si>
  <si>
    <t>З перевірки зварних стиків згідно графіка</t>
  </si>
  <si>
    <t>З перевірки зварних стиків фактично</t>
  </si>
  <si>
    <t>З вторинної перевірки рейок</t>
  </si>
  <si>
    <t>Колії згідно графіка, км</t>
  </si>
  <si>
    <t>Колії фактично, км</t>
  </si>
  <si>
    <t>Стрілочних переводів згідно графіка, шт</t>
  </si>
  <si>
    <t>Стрілочних переводів фактично, шт</t>
  </si>
  <si>
    <t>Зварних стиків згідно графіка, шт</t>
  </si>
  <si>
    <t>Зварних стиків фактично, шт</t>
  </si>
  <si>
    <t>Місця вторинного контролю (шт)</t>
  </si>
  <si>
    <t>Всього згідно графіка</t>
  </si>
  <si>
    <t>Всього фактично</t>
  </si>
  <si>
    <t>З реєстратором у тому числі</t>
  </si>
  <si>
    <t>ГДР (шт.)</t>
  </si>
  <si>
    <t>ДР (шт)</t>
  </si>
  <si>
    <t xml:space="preserve">Технічна рідина, л </t>
  </si>
  <si>
    <t xml:space="preserve">Мінеральне мастило, л </t>
  </si>
  <si>
    <t>Наявність</t>
  </si>
  <si>
    <t>В роботі</t>
  </si>
  <si>
    <t>Разом:</t>
  </si>
  <si>
    <t xml:space="preserve">З суцільного контролю </t>
  </si>
  <si>
    <t>З перевірки стрілочних переводів (шт)</t>
  </si>
  <si>
    <t>Зварних стиків (шт)</t>
  </si>
  <si>
    <t>З вторинної перевірки (місць)</t>
  </si>
  <si>
    <t>Отримано</t>
  </si>
  <si>
    <t>Витрачено</t>
  </si>
  <si>
    <t>Залишок</t>
  </si>
  <si>
    <t xml:space="preserve"> Всього</t>
  </si>
  <si>
    <t>З реєстратором у том числі</t>
  </si>
  <si>
    <t>П</t>
  </si>
  <si>
    <t>Вик.</t>
  </si>
  <si>
    <t>Тел.</t>
  </si>
  <si>
    <t>При формуванні таблиці звіту потрібно використовувати формати тільки оригіналу примірника.</t>
  </si>
  <si>
    <t>Забороняється корегувати форми (додавати, зменьшувати кількість стовбчиків, об’єднувати та змінювати формати у формі звітності).</t>
  </si>
  <si>
    <t>про роботу засобів рейкової дефектоскопії Одеської залізниці по ПЧ-10 на курсуванні пасажирських поїздів Interciti + ,Interciti</t>
  </si>
  <si>
    <t>З перевірки стрілочних переводів</t>
  </si>
  <si>
    <t>З перевірки зварних стиків</t>
  </si>
  <si>
    <t xml:space="preserve"> Колії (км)</t>
  </si>
  <si>
    <t>Стрілочних переводів (шт)</t>
  </si>
  <si>
    <t>Всього</t>
  </si>
  <si>
    <t>про роботу засобів рейкової дефектоскопії Одеської залізниці по ПЧ-10 за</t>
  </si>
  <si>
    <t>УД3-71</t>
  </si>
  <si>
    <t>РДМ-24 №232</t>
  </si>
  <si>
    <t>УДС2М-11 №606</t>
  </si>
  <si>
    <t>РДМ-33 
№1261</t>
  </si>
  <si>
    <t>РДМ-3 
№390</t>
  </si>
  <si>
    <t>РДМ-22 
№1176</t>
  </si>
  <si>
    <t>РДМ-22 
№1999</t>
  </si>
  <si>
    <t>Нестеренко М. В.</t>
  </si>
  <si>
    <t>Левковський С. О.</t>
  </si>
  <si>
    <t>Яцечко С. Ю.</t>
  </si>
  <si>
    <t>УДС2М-11</t>
  </si>
  <si>
    <t>Всього по Interciti:</t>
  </si>
  <si>
    <t>Interciti</t>
  </si>
  <si>
    <t xml:space="preserve"> Виявлено:</t>
  </si>
  <si>
    <t>ДР</t>
  </si>
  <si>
    <t>ГДР</t>
  </si>
  <si>
    <t>intercity</t>
  </si>
  <si>
    <t xml:space="preserve"> так</t>
  </si>
  <si>
    <t>ні</t>
  </si>
  <si>
    <t>так</t>
  </si>
  <si>
    <t>Знам'янка пас. - ОП 309 км</t>
  </si>
  <si>
    <t>ОП 309 км - Знам'янка пас.</t>
  </si>
  <si>
    <t>Видано місць на ПК</t>
  </si>
  <si>
    <t>Пояснення по використанню:</t>
  </si>
  <si>
    <t>в поля B1:C20 ввести назви та номери апаратів суцільного контролю</t>
  </si>
  <si>
    <t>в поля B21:C30 ввести назви та номери апаратів для перевірки СП</t>
  </si>
  <si>
    <t>в поля B31:C40 ввести назви та номери апаратів для перевірки зварних стиків</t>
  </si>
  <si>
    <t>в поля D1:AH40 вводимо умовні позначення:</t>
  </si>
  <si>
    <t>1. Дані в звіті повинні співпадати з DEF ZVIT, а також з формами щомісячного звіту Д-3, Д-6, Д-8, Д-9</t>
  </si>
  <si>
    <t>2. ЗАБОРОНЯЄТЬСЯ змінювати структуру таблиці!</t>
  </si>
  <si>
    <t>з - Тех. Заняття</t>
  </si>
  <si>
    <t>Розробив: ПЧД-10 Заїка С. О.</t>
  </si>
  <si>
    <t>Тел.: 0665805700</t>
  </si>
  <si>
    <t>с - На списанні</t>
  </si>
  <si>
    <t>цифра - номер попередження, якщо попереджень два, то вводимо через кому</t>
  </si>
  <si>
    <t>ввести сюди:</t>
  </si>
  <si>
    <t>необхідна кількість апаратів згідно ЦП-0264</t>
  </si>
  <si>
    <t>Руденко Д.О.</t>
  </si>
  <si>
    <t/>
  </si>
  <si>
    <t>оноколійна</t>
  </si>
  <si>
    <t>х</t>
  </si>
  <si>
    <t>с</t>
  </si>
  <si>
    <t>р</t>
  </si>
  <si>
    <t>БП Західний - Чорноліська</t>
  </si>
  <si>
    <t>т</t>
  </si>
  <si>
    <t>ст. Знам'янка сортувальний парк</t>
  </si>
  <si>
    <t>БП Західний - Знам'янка</t>
  </si>
</sst>
</file>

<file path=xl/styles.xml><?xml version="1.0" encoding="utf-8"?>
<styleSheet xmlns="http://schemas.openxmlformats.org/spreadsheetml/2006/main">
  <numFmts count="7">
    <numFmt numFmtId="164" formatCode="_-* #,##0.00\ _г_р_н_._-;\-* #,##0.00\ _г_р_н_._-;_-* &quot;-&quot;??\ _г_р_н_._-;_-@_-"/>
    <numFmt numFmtId="165" formatCode="0.0"/>
    <numFmt numFmtId="166" formatCode="h:mm;@"/>
    <numFmt numFmtId="167" formatCode="mmmm\ yyyy&quot; р.&quot;"/>
    <numFmt numFmtId="168" formatCode="dd"/>
    <numFmt numFmtId="169" formatCode="0.00;[Red]0.00"/>
    <numFmt numFmtId="170" formatCode="mmmm\ yyyy"/>
  </numFmts>
  <fonts count="32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4"/>
      <name val="Times New Roman"/>
      <family val="1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0"/>
      <color indexed="10"/>
      <name val="Arial Cyr"/>
      <charset val="204"/>
    </font>
    <font>
      <b/>
      <sz val="10"/>
      <color indexed="10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color indexed="8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1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sz val="16"/>
      <color indexed="10"/>
      <name val="Arial"/>
      <family val="2"/>
      <charset val="204"/>
    </font>
    <font>
      <b/>
      <sz val="10"/>
      <color theme="0"/>
      <name val="Arial Narrow"/>
      <family val="2"/>
      <charset val="204"/>
    </font>
    <font>
      <sz val="10"/>
      <color theme="0"/>
      <name val="Arial"/>
      <family val="2"/>
      <charset val="204"/>
    </font>
    <font>
      <b/>
      <sz val="9"/>
      <color rgb="FFFF0000"/>
      <name val="Times New Roman"/>
      <family val="1"/>
      <charset val="204"/>
    </font>
  </fonts>
  <fills count="2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4">
    <xf numFmtId="0" fontId="0" fillId="0" borderId="0"/>
    <xf numFmtId="0" fontId="4" fillId="0" borderId="0"/>
    <xf numFmtId="164" fontId="1" fillId="0" borderId="0" applyFont="0" applyFill="0" applyBorder="0" applyAlignment="0" applyProtection="0"/>
    <xf numFmtId="0" fontId="4" fillId="0" borderId="0"/>
  </cellStyleXfs>
  <cellXfs count="539">
    <xf numFmtId="0" fontId="0" fillId="0" borderId="0" xfId="0"/>
    <xf numFmtId="0" fontId="2" fillId="0" borderId="0" xfId="0" applyFont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166" fontId="6" fillId="0" borderId="1" xfId="0" applyNumberFormat="1" applyFont="1" applyBorder="1" applyProtection="1"/>
    <xf numFmtId="0" fontId="2" fillId="0" borderId="0" xfId="0" applyFont="1" applyBorder="1"/>
    <xf numFmtId="166" fontId="6" fillId="0" borderId="0" xfId="0" applyNumberFormat="1" applyFont="1" applyBorder="1" applyProtection="1">
      <protection locked="0"/>
    </xf>
    <xf numFmtId="166" fontId="6" fillId="0" borderId="0" xfId="0" applyNumberFormat="1" applyFont="1" applyBorder="1" applyProtection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5" fillId="0" borderId="0" xfId="0" applyFont="1" applyAlignment="1">
      <alignment vertical="top" wrapText="1"/>
    </xf>
    <xf numFmtId="0" fontId="5" fillId="0" borderId="0" xfId="0" applyFont="1" applyBorder="1" applyAlignment="1">
      <alignment horizontal="left" vertical="center" wrapText="1"/>
    </xf>
    <xf numFmtId="166" fontId="6" fillId="0" borderId="1" xfId="0" applyNumberFormat="1" applyFont="1" applyBorder="1" applyProtection="1">
      <protection locked="0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165" fontId="6" fillId="0" borderId="0" xfId="0" applyNumberFormat="1" applyFont="1" applyBorder="1" applyAlignment="1">
      <alignment horizontal="center"/>
    </xf>
    <xf numFmtId="0" fontId="7" fillId="0" borderId="0" xfId="0" applyFont="1" applyBorder="1"/>
    <xf numFmtId="0" fontId="9" fillId="0" borderId="0" xfId="0" applyFont="1"/>
    <xf numFmtId="0" fontId="9" fillId="0" borderId="0" xfId="0" applyFont="1" applyAlignment="1">
      <alignment horizontal="left"/>
    </xf>
    <xf numFmtId="0" fontId="3" fillId="0" borderId="0" xfId="0" applyFont="1" applyAlignment="1"/>
    <xf numFmtId="0" fontId="6" fillId="0" borderId="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6" fontId="8" fillId="0" borderId="1" xfId="0" applyNumberFormat="1" applyFont="1" applyBorder="1" applyProtection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2" xfId="0" applyFont="1" applyBorder="1"/>
    <xf numFmtId="166" fontId="6" fillId="0" borderId="1" xfId="0" applyNumberFormat="1" applyFont="1" applyBorder="1" applyAlignment="1" applyProtection="1">
      <alignment horizontal="center"/>
    </xf>
    <xf numFmtId="49" fontId="6" fillId="0" borderId="2" xfId="0" applyNumberFormat="1" applyFont="1" applyBorder="1"/>
    <xf numFmtId="49" fontId="6" fillId="0" borderId="1" xfId="0" applyNumberFormat="1" applyFont="1" applyBorder="1"/>
    <xf numFmtId="166" fontId="6" fillId="0" borderId="1" xfId="0" applyNumberFormat="1" applyFont="1" applyBorder="1" applyAlignment="1" applyProtection="1"/>
    <xf numFmtId="166" fontId="6" fillId="0" borderId="2" xfId="0" applyNumberFormat="1" applyFont="1" applyBorder="1" applyAlignment="1" applyProtection="1"/>
    <xf numFmtId="0" fontId="8" fillId="0" borderId="1" xfId="0" applyFont="1" applyBorder="1" applyAlignment="1"/>
    <xf numFmtId="166" fontId="8" fillId="0" borderId="1" xfId="0" applyNumberFormat="1" applyFont="1" applyBorder="1" applyAlignment="1"/>
    <xf numFmtId="0" fontId="8" fillId="0" borderId="1" xfId="0" applyFont="1" applyBorder="1"/>
    <xf numFmtId="0" fontId="8" fillId="0" borderId="2" xfId="0" applyFont="1" applyBorder="1"/>
    <xf numFmtId="0" fontId="8" fillId="0" borderId="0" xfId="0" applyFont="1"/>
    <xf numFmtId="0" fontId="8" fillId="0" borderId="2" xfId="0" applyFont="1" applyBorder="1" applyAlignment="1">
      <alignment horizontal="center"/>
    </xf>
    <xf numFmtId="165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66" fontId="8" fillId="0" borderId="1" xfId="0" applyNumberFormat="1" applyFont="1" applyBorder="1" applyAlignment="1" applyProtection="1">
      <alignment horizontal="center"/>
    </xf>
    <xf numFmtId="166" fontId="8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1" xfId="0" applyNumberFormat="1" applyFont="1" applyBorder="1" applyAlignment="1">
      <alignment horizontal="center" vertical="center"/>
    </xf>
    <xf numFmtId="165" fontId="6" fillId="0" borderId="0" xfId="0" applyNumberFormat="1" applyFont="1"/>
    <xf numFmtId="0" fontId="0" fillId="0" borderId="1" xfId="0" applyFont="1" applyBorder="1" applyAlignment="1">
      <alignment horizontal="center" vertical="center"/>
    </xf>
    <xf numFmtId="0" fontId="11" fillId="3" borderId="0" xfId="0" applyFont="1" applyFill="1" applyAlignment="1">
      <alignment horizontal="left" vertical="center" wrapText="1"/>
    </xf>
    <xf numFmtId="49" fontId="12" fillId="0" borderId="0" xfId="0" applyNumberFormat="1" applyFont="1" applyFill="1" applyBorder="1" applyAlignment="1">
      <alignment horizontal="center" vertical="center" wrapText="1"/>
    </xf>
    <xf numFmtId="49" fontId="12" fillId="0" borderId="0" xfId="0" applyNumberFormat="1" applyFont="1" applyFill="1" applyBorder="1" applyAlignment="1">
      <alignment horizontal="left" vertical="center" wrapText="1"/>
    </xf>
    <xf numFmtId="0" fontId="13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Alignment="1">
      <alignment horizontal="center" vertical="center" wrapText="1"/>
    </xf>
    <xf numFmtId="0" fontId="15" fillId="0" borderId="0" xfId="0" applyFont="1" applyFill="1" applyAlignment="1">
      <alignment horizontal="left" vertical="center" wrapText="1"/>
    </xf>
    <xf numFmtId="0" fontId="15" fillId="0" borderId="0" xfId="0" applyFont="1" applyFill="1" applyAlignment="1">
      <alignment horizontal="center" vertical="center" wrapText="1"/>
    </xf>
    <xf numFmtId="165" fontId="11" fillId="3" borderId="3" xfId="0" applyNumberFormat="1" applyFont="1" applyFill="1" applyBorder="1" applyAlignment="1">
      <alignment horizontal="left" vertical="center" wrapText="1"/>
    </xf>
    <xf numFmtId="0" fontId="12" fillId="4" borderId="0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horizontal="center" vertical="center" wrapText="1"/>
    </xf>
    <xf numFmtId="49" fontId="16" fillId="5" borderId="1" xfId="0" applyNumberFormat="1" applyFont="1" applyFill="1" applyBorder="1" applyAlignment="1">
      <alignment horizontal="left" vertical="center" wrapText="1"/>
    </xf>
    <xf numFmtId="49" fontId="16" fillId="0" borderId="0" xfId="0" applyNumberFormat="1" applyFont="1" applyFill="1" applyBorder="1" applyAlignment="1">
      <alignment horizontal="center" vertical="center" wrapText="1"/>
    </xf>
    <xf numFmtId="49" fontId="16" fillId="0" borderId="0" xfId="0" applyNumberFormat="1" applyFont="1" applyFill="1" applyBorder="1" applyAlignment="1">
      <alignment horizontal="left" vertical="center" wrapText="1"/>
    </xf>
    <xf numFmtId="0" fontId="14" fillId="0" borderId="0" xfId="0" applyNumberFormat="1" applyFont="1" applyFill="1" applyBorder="1" applyAlignment="1">
      <alignment horizontal="center" vertical="center" wrapText="1"/>
    </xf>
    <xf numFmtId="49" fontId="16" fillId="0" borderId="0" xfId="0" applyNumberFormat="1" applyFont="1" applyFill="1" applyBorder="1" applyAlignment="1">
      <alignment vertical="center" wrapText="1"/>
    </xf>
    <xf numFmtId="49" fontId="16" fillId="0" borderId="0" xfId="0" applyNumberFormat="1" applyFont="1" applyFill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17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0" fontId="12" fillId="6" borderId="1" xfId="0" applyNumberFormat="1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left" vertical="center" wrapText="1"/>
    </xf>
    <xf numFmtId="1" fontId="16" fillId="8" borderId="1" xfId="0" applyNumberFormat="1" applyFont="1" applyFill="1" applyBorder="1" applyAlignment="1">
      <alignment horizontal="center" vertical="center" wrapText="1"/>
    </xf>
    <xf numFmtId="1" fontId="16" fillId="8" borderId="1" xfId="0" applyNumberFormat="1" applyFont="1" applyFill="1" applyBorder="1" applyAlignment="1">
      <alignment horizontal="left" vertical="center" wrapText="1"/>
    </xf>
    <xf numFmtId="165" fontId="19" fillId="0" borderId="0" xfId="0" applyNumberFormat="1" applyFont="1" applyFill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9" fillId="0" borderId="0" xfId="0" applyFont="1" applyFill="1" applyAlignment="1">
      <alignment horizontal="left" vertical="center" wrapText="1"/>
    </xf>
    <xf numFmtId="0" fontId="19" fillId="0" borderId="0" xfId="0" applyNumberFormat="1" applyFont="1" applyFill="1" applyAlignment="1">
      <alignment horizontal="center" vertical="center" wrapText="1"/>
    </xf>
    <xf numFmtId="166" fontId="14" fillId="0" borderId="0" xfId="0" applyNumberFormat="1" applyFont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center" vertical="center" wrapText="1"/>
    </xf>
    <xf numFmtId="0" fontId="14" fillId="0" borderId="0" xfId="0" quotePrefix="1" applyNumberFormat="1" applyFont="1" applyBorder="1" applyAlignment="1">
      <alignment horizontal="center" vertical="center"/>
    </xf>
    <xf numFmtId="0" fontId="16" fillId="9" borderId="1" xfId="0" applyFont="1" applyFill="1" applyBorder="1" applyAlignment="1">
      <alignment horizontal="left" vertical="center" wrapText="1"/>
    </xf>
    <xf numFmtId="0" fontId="14" fillId="0" borderId="0" xfId="0" applyNumberFormat="1" applyFont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 wrapText="1"/>
    </xf>
    <xf numFmtId="49" fontId="19" fillId="0" borderId="0" xfId="0" applyNumberFormat="1" applyFont="1" applyFill="1" applyAlignment="1">
      <alignment horizontal="left" vertical="center" wrapText="1"/>
    </xf>
    <xf numFmtId="49" fontId="19" fillId="0" borderId="0" xfId="0" applyNumberFormat="1" applyFont="1" applyFill="1" applyAlignment="1">
      <alignment horizontal="center" vertical="center" wrapText="1"/>
    </xf>
    <xf numFmtId="0" fontId="16" fillId="5" borderId="1" xfId="0" applyFont="1" applyFill="1" applyBorder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3" borderId="1" xfId="0" applyFont="1" applyFill="1" applyBorder="1" applyAlignment="1">
      <alignment horizontal="left" vertical="center" wrapText="1"/>
    </xf>
    <xf numFmtId="165" fontId="16" fillId="0" borderId="0" xfId="0" applyNumberFormat="1" applyFont="1" applyFill="1" applyAlignment="1">
      <alignment horizontal="center" vertical="center" wrapText="1"/>
    </xf>
    <xf numFmtId="0" fontId="16" fillId="12" borderId="1" xfId="0" applyFont="1" applyFill="1" applyBorder="1" applyAlignment="1">
      <alignment horizontal="left" vertical="center" wrapText="1"/>
    </xf>
    <xf numFmtId="0" fontId="16" fillId="13" borderId="1" xfId="0" applyFont="1" applyFill="1" applyBorder="1" applyAlignment="1">
      <alignment horizontal="left" vertical="center" wrapText="1"/>
    </xf>
    <xf numFmtId="0" fontId="16" fillId="14" borderId="1" xfId="0" applyFont="1" applyFill="1" applyBorder="1" applyAlignment="1">
      <alignment horizontal="left" vertical="center" wrapText="1"/>
    </xf>
    <xf numFmtId="0" fontId="16" fillId="15" borderId="1" xfId="0" applyFont="1" applyFill="1" applyBorder="1" applyAlignment="1">
      <alignment horizontal="left" vertical="center" wrapText="1"/>
    </xf>
    <xf numFmtId="0" fontId="16" fillId="0" borderId="0" xfId="0" applyNumberFormat="1" applyFont="1" applyFill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16" fillId="17" borderId="1" xfId="1" applyFont="1" applyFill="1" applyBorder="1" applyAlignment="1">
      <alignment horizontal="left" vertical="center" wrapText="1"/>
    </xf>
    <xf numFmtId="165" fontId="16" fillId="0" borderId="4" xfId="0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0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horizontal="left" vertical="center" wrapText="1"/>
    </xf>
    <xf numFmtId="0" fontId="16" fillId="3" borderId="1" xfId="1" applyFont="1" applyFill="1" applyBorder="1" applyAlignment="1">
      <alignment horizontal="left" vertical="center" wrapText="1"/>
    </xf>
    <xf numFmtId="0" fontId="16" fillId="18" borderId="1" xfId="1" applyFont="1" applyFill="1" applyBorder="1" applyAlignment="1">
      <alignment horizontal="left" vertical="center" wrapText="1"/>
    </xf>
    <xf numFmtId="0" fontId="16" fillId="15" borderId="1" xfId="1" applyFont="1" applyFill="1" applyBorder="1" applyAlignment="1">
      <alignment horizontal="left" vertical="center" wrapText="1"/>
    </xf>
    <xf numFmtId="0" fontId="16" fillId="19" borderId="1" xfId="0" applyFont="1" applyFill="1" applyBorder="1" applyAlignment="1">
      <alignment horizontal="left" vertical="center" wrapText="1"/>
    </xf>
    <xf numFmtId="1" fontId="16" fillId="19" borderId="1" xfId="0" applyNumberFormat="1" applyFont="1" applyFill="1" applyBorder="1" applyAlignment="1">
      <alignment horizontal="center" vertical="center" wrapText="1"/>
    </xf>
    <xf numFmtId="165" fontId="16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horizontal="left" vertical="center" wrapText="1"/>
    </xf>
    <xf numFmtId="0" fontId="16" fillId="20" borderId="1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vertical="center" wrapText="1"/>
    </xf>
    <xf numFmtId="0" fontId="16" fillId="16" borderId="1" xfId="0" applyFont="1" applyFill="1" applyBorder="1" applyAlignment="1">
      <alignment horizontal="left" vertical="center" wrapText="1"/>
    </xf>
    <xf numFmtId="0" fontId="16" fillId="21" borderId="1" xfId="0" applyFont="1" applyFill="1" applyBorder="1" applyAlignment="1">
      <alignment horizontal="left" vertical="center" wrapText="1"/>
    </xf>
    <xf numFmtId="0" fontId="16" fillId="18" borderId="1" xfId="0" applyFont="1" applyFill="1" applyBorder="1" applyAlignment="1">
      <alignment horizontal="left" vertical="center" wrapText="1"/>
    </xf>
    <xf numFmtId="0" fontId="16" fillId="0" borderId="0" xfId="1" applyFont="1" applyFill="1" applyBorder="1" applyAlignment="1">
      <alignment vertical="center" wrapText="1"/>
    </xf>
    <xf numFmtId="0" fontId="16" fillId="6" borderId="1" xfId="0" applyFont="1" applyFill="1" applyBorder="1" applyAlignment="1">
      <alignment horizontal="left" vertical="center" wrapText="1"/>
    </xf>
    <xf numFmtId="0" fontId="16" fillId="19" borderId="1" xfId="0" applyFont="1" applyFill="1" applyBorder="1" applyAlignment="1">
      <alignment horizontal="center" vertical="center" wrapText="1"/>
    </xf>
    <xf numFmtId="49" fontId="16" fillId="5" borderId="1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166" fontId="6" fillId="0" borderId="1" xfId="0" applyNumberFormat="1" applyFont="1" applyBorder="1" applyAlignment="1" applyProtection="1">
      <alignment vertical="center"/>
    </xf>
    <xf numFmtId="166" fontId="6" fillId="0" borderId="5" xfId="1" applyNumberFormat="1" applyFont="1" applyBorder="1" applyAlignment="1" applyProtection="1">
      <alignment vertical="center"/>
      <protection locked="0"/>
    </xf>
    <xf numFmtId="166" fontId="6" fillId="0" borderId="5" xfId="1" applyNumberFormat="1" applyFont="1" applyBorder="1" applyAlignment="1" applyProtection="1">
      <alignment vertical="center"/>
    </xf>
    <xf numFmtId="166" fontId="6" fillId="0" borderId="1" xfId="0" applyNumberFormat="1" applyFont="1" applyBorder="1" applyAlignment="1" applyProtection="1">
      <alignment vertical="center"/>
      <protection locked="0"/>
    </xf>
    <xf numFmtId="166" fontId="6" fillId="0" borderId="1" xfId="0" applyNumberFormat="1" applyFont="1" applyBorder="1" applyAlignment="1" applyProtection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6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NumberFormat="1" applyFont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0" fillId="0" borderId="5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6" xfId="0" applyFont="1" applyBorder="1"/>
    <xf numFmtId="0" fontId="0" fillId="0" borderId="17" xfId="0" applyFont="1" applyBorder="1"/>
    <xf numFmtId="168" fontId="0" fillId="0" borderId="17" xfId="0" applyNumberFormat="1" applyBorder="1" applyAlignment="1">
      <alignment horizontal="center" vertical="center"/>
    </xf>
    <xf numFmtId="168" fontId="0" fillId="0" borderId="17" xfId="0" applyNumberFormat="1" applyFont="1" applyBorder="1" applyAlignment="1">
      <alignment horizontal="center" vertical="center"/>
    </xf>
    <xf numFmtId="168" fontId="0" fillId="0" borderId="18" xfId="0" applyNumberFormat="1" applyBorder="1" applyAlignment="1">
      <alignment horizontal="center" vertical="center"/>
    </xf>
    <xf numFmtId="0" fontId="0" fillId="0" borderId="19" xfId="0" applyFont="1" applyBorder="1"/>
    <xf numFmtId="168" fontId="0" fillId="0" borderId="16" xfId="0" applyNumberFormat="1" applyBorder="1" applyAlignment="1">
      <alignment horizontal="center" vertical="center"/>
    </xf>
    <xf numFmtId="0" fontId="22" fillId="0" borderId="0" xfId="1" applyFont="1" applyFill="1" applyBorder="1" applyAlignment="1" applyProtection="1">
      <alignment wrapText="1"/>
      <protection locked="0"/>
    </xf>
    <xf numFmtId="0" fontId="22" fillId="0" borderId="0" xfId="1" applyFont="1" applyFill="1" applyAlignment="1" applyProtection="1">
      <alignment wrapText="1"/>
      <protection locked="0"/>
    </xf>
    <xf numFmtId="0" fontId="21" fillId="0" borderId="29" xfId="0" applyFont="1" applyFill="1" applyBorder="1" applyAlignment="1" applyProtection="1">
      <alignment horizontal="center" vertical="center" textRotation="90" wrapText="1"/>
      <protection locked="0"/>
    </xf>
    <xf numFmtId="0" fontId="21" fillId="0" borderId="23" xfId="0" applyFont="1" applyFill="1" applyBorder="1" applyAlignment="1" applyProtection="1">
      <alignment horizontal="center" vertical="center" textRotation="90" wrapText="1"/>
      <protection locked="0"/>
    </xf>
    <xf numFmtId="14" fontId="26" fillId="0" borderId="38" xfId="3" applyNumberFormat="1" applyFont="1" applyFill="1" applyBorder="1" applyAlignment="1" applyProtection="1">
      <alignment horizontal="center" vertical="center"/>
      <protection locked="0"/>
    </xf>
    <xf numFmtId="1" fontId="15" fillId="0" borderId="41" xfId="0" applyNumberFormat="1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 applyProtection="1">
      <alignment horizontal="center" vertical="center"/>
      <protection locked="0"/>
    </xf>
    <xf numFmtId="1" fontId="15" fillId="0" borderId="43" xfId="0" applyNumberFormat="1" applyFont="1" applyFill="1" applyBorder="1" applyAlignment="1" applyProtection="1">
      <alignment horizontal="center" vertical="center"/>
      <protection locked="0"/>
    </xf>
    <xf numFmtId="1" fontId="27" fillId="0" borderId="44" xfId="0" applyNumberFormat="1" applyFont="1" applyFill="1" applyBorder="1" applyAlignment="1" applyProtection="1">
      <alignment horizontal="center" vertical="center"/>
      <protection locked="0"/>
    </xf>
    <xf numFmtId="1" fontId="27" fillId="7" borderId="45" xfId="0" applyNumberFormat="1" applyFont="1" applyFill="1" applyBorder="1" applyAlignment="1" applyProtection="1">
      <alignment horizontal="center" vertical="center"/>
      <protection locked="0"/>
    </xf>
    <xf numFmtId="1" fontId="15" fillId="0" borderId="46" xfId="0" applyNumberFormat="1" applyFont="1" applyFill="1" applyBorder="1" applyAlignment="1" applyProtection="1">
      <alignment horizontal="center" vertical="center"/>
      <protection locked="0"/>
    </xf>
    <xf numFmtId="1" fontId="15" fillId="7" borderId="42" xfId="0" applyNumberFormat="1" applyFont="1" applyFill="1" applyBorder="1" applyAlignment="1" applyProtection="1">
      <alignment horizontal="center" vertical="center"/>
      <protection locked="0"/>
    </xf>
    <xf numFmtId="2" fontId="15" fillId="7" borderId="45" xfId="0" applyNumberFormat="1" applyFont="1" applyFill="1" applyBorder="1" applyAlignment="1" applyProtection="1">
      <alignment horizontal="center" vertical="center"/>
      <protection locked="0"/>
    </xf>
    <xf numFmtId="2" fontId="15" fillId="0" borderId="42" xfId="0" applyNumberFormat="1" applyFont="1" applyFill="1" applyBorder="1" applyAlignment="1" applyProtection="1">
      <alignment horizontal="center" vertical="center"/>
      <protection locked="0"/>
    </xf>
    <xf numFmtId="1" fontId="15" fillId="7" borderId="41" xfId="0" applyNumberFormat="1" applyFont="1" applyFill="1" applyBorder="1" applyAlignment="1" applyProtection="1">
      <alignment horizontal="center" vertical="center"/>
      <protection locked="0"/>
    </xf>
    <xf numFmtId="1" fontId="27" fillId="0" borderId="38" xfId="0" applyNumberFormat="1" applyFont="1" applyFill="1" applyBorder="1" applyAlignment="1" applyProtection="1">
      <alignment horizontal="center" vertical="center"/>
    </xf>
    <xf numFmtId="1" fontId="15" fillId="0" borderId="47" xfId="0" applyNumberFormat="1" applyFont="1" applyFill="1" applyBorder="1" applyAlignment="1" applyProtection="1">
      <alignment horizontal="center" vertical="center"/>
      <protection locked="0"/>
    </xf>
    <xf numFmtId="1" fontId="15" fillId="0" borderId="38" xfId="0" applyNumberFormat="1" applyFont="1" applyFill="1" applyBorder="1" applyAlignment="1" applyProtection="1">
      <alignment horizontal="center" vertical="center"/>
      <protection locked="0"/>
    </xf>
    <xf numFmtId="2" fontId="15" fillId="0" borderId="47" xfId="0" applyNumberFormat="1" applyFont="1" applyFill="1" applyBorder="1" applyAlignment="1" applyProtection="1">
      <alignment horizontal="center" vertical="center"/>
      <protection locked="0"/>
    </xf>
    <xf numFmtId="2" fontId="15" fillId="0" borderId="46" xfId="0" applyNumberFormat="1" applyFont="1" applyFill="1" applyBorder="1" applyAlignment="1" applyProtection="1">
      <alignment horizontal="center" vertical="center"/>
      <protection locked="0"/>
    </xf>
    <xf numFmtId="2" fontId="27" fillId="0" borderId="38" xfId="0" applyNumberFormat="1" applyFont="1" applyFill="1" applyBorder="1" applyAlignment="1" applyProtection="1">
      <alignment horizontal="center" vertical="center"/>
      <protection locked="0"/>
    </xf>
    <xf numFmtId="2" fontId="15" fillId="0" borderId="43" xfId="0" applyNumberFormat="1" applyFont="1" applyFill="1" applyBorder="1" applyAlignment="1" applyProtection="1">
      <alignment horizontal="center" vertical="center"/>
      <protection locked="0"/>
    </xf>
    <xf numFmtId="0" fontId="15" fillId="0" borderId="45" xfId="0" applyFont="1" applyFill="1" applyBorder="1" applyAlignment="1" applyProtection="1">
      <alignment horizontal="center" vertical="center"/>
      <protection locked="0"/>
    </xf>
    <xf numFmtId="1" fontId="27" fillId="0" borderId="38" xfId="0" applyNumberFormat="1" applyFont="1" applyFill="1" applyBorder="1" applyAlignment="1" applyProtection="1">
      <alignment horizontal="center" vertical="center"/>
      <protection locked="0"/>
    </xf>
    <xf numFmtId="14" fontId="26" fillId="0" borderId="48" xfId="3" applyNumberFormat="1" applyFont="1" applyFill="1" applyBorder="1" applyAlignment="1" applyProtection="1">
      <alignment horizontal="center" vertical="center"/>
      <protection locked="0"/>
    </xf>
    <xf numFmtId="1" fontId="15" fillId="0" borderId="2" xfId="0" applyNumberFormat="1" applyFont="1" applyFill="1" applyBorder="1" applyAlignment="1" applyProtection="1">
      <alignment horizontal="center" vertical="center"/>
    </xf>
    <xf numFmtId="1" fontId="15" fillId="0" borderId="1" xfId="0" applyNumberFormat="1" applyFont="1" applyFill="1" applyBorder="1" applyAlignment="1" applyProtection="1">
      <alignment horizontal="center" vertical="center"/>
      <protection locked="0"/>
    </xf>
    <xf numFmtId="1" fontId="15" fillId="0" borderId="8" xfId="0" applyNumberFormat="1" applyFont="1" applyFill="1" applyBorder="1" applyAlignment="1" applyProtection="1">
      <alignment horizontal="center" vertical="center"/>
      <protection locked="0"/>
    </xf>
    <xf numFmtId="1" fontId="27" fillId="7" borderId="22" xfId="0" applyNumberFormat="1" applyFont="1" applyFill="1" applyBorder="1" applyAlignment="1" applyProtection="1">
      <alignment horizontal="center" vertical="center"/>
      <protection locked="0"/>
    </xf>
    <xf numFmtId="1" fontId="15" fillId="0" borderId="6" xfId="0" applyNumberFormat="1" applyFont="1" applyFill="1" applyBorder="1" applyAlignment="1" applyProtection="1">
      <alignment horizontal="center" vertical="center"/>
      <protection locked="0"/>
    </xf>
    <xf numFmtId="1" fontId="15" fillId="7" borderId="1" xfId="0" applyNumberFormat="1" applyFont="1" applyFill="1" applyBorder="1" applyAlignment="1" applyProtection="1">
      <alignment horizontal="center" vertical="center"/>
      <protection locked="0"/>
    </xf>
    <xf numFmtId="2" fontId="15" fillId="7" borderId="22" xfId="0" applyNumberFormat="1" applyFont="1" applyFill="1" applyBorder="1" applyAlignment="1" applyProtection="1">
      <alignment horizontal="center" vertical="center"/>
      <protection locked="0"/>
    </xf>
    <xf numFmtId="2" fontId="15" fillId="0" borderId="1" xfId="0" applyNumberFormat="1" applyFont="1" applyFill="1" applyBorder="1" applyAlignment="1" applyProtection="1">
      <alignment horizontal="center" vertical="center"/>
      <protection locked="0"/>
    </xf>
    <xf numFmtId="1" fontId="15" fillId="7" borderId="2" xfId="0" applyNumberFormat="1" applyFont="1" applyFill="1" applyBorder="1" applyAlignment="1" applyProtection="1">
      <alignment horizontal="center" vertical="center"/>
      <protection locked="0"/>
    </xf>
    <xf numFmtId="1" fontId="15" fillId="0" borderId="7" xfId="0" applyNumberFormat="1" applyFont="1" applyFill="1" applyBorder="1" applyAlignment="1" applyProtection="1">
      <alignment horizontal="center" vertical="center"/>
      <protection locked="0"/>
    </xf>
    <xf numFmtId="1" fontId="15" fillId="0" borderId="48" xfId="0" applyNumberFormat="1" applyFont="1" applyFill="1" applyBorder="1" applyAlignment="1" applyProtection="1">
      <alignment horizontal="center" vertical="center"/>
      <protection locked="0"/>
    </xf>
    <xf numFmtId="2" fontId="15" fillId="0" borderId="7" xfId="0" applyNumberFormat="1" applyFont="1" applyFill="1" applyBorder="1" applyAlignment="1" applyProtection="1">
      <alignment horizontal="center" vertical="center"/>
    </xf>
    <xf numFmtId="2" fontId="15" fillId="0" borderId="6" xfId="0" applyNumberFormat="1" applyFont="1" applyFill="1" applyBorder="1" applyAlignment="1" applyProtection="1">
      <alignment horizontal="center" vertical="center"/>
      <protection locked="0"/>
    </xf>
    <xf numFmtId="2" fontId="27" fillId="0" borderId="38" xfId="0" applyNumberFormat="1" applyFont="1" applyFill="1" applyBorder="1" applyAlignment="1" applyProtection="1">
      <alignment horizontal="center" vertical="center"/>
    </xf>
    <xf numFmtId="2" fontId="15" fillId="0" borderId="7" xfId="0" applyNumberFormat="1" applyFont="1" applyFill="1" applyBorder="1" applyAlignment="1" applyProtection="1">
      <alignment horizontal="center" vertical="center"/>
      <protection locked="0"/>
    </xf>
    <xf numFmtId="2" fontId="15" fillId="0" borderId="8" xfId="0" applyNumberFormat="1" applyFont="1" applyFill="1" applyBorder="1" applyAlignment="1" applyProtection="1">
      <alignment horizontal="center" vertical="center"/>
      <protection locked="0"/>
    </xf>
    <xf numFmtId="1" fontId="15" fillId="0" borderId="22" xfId="0" applyNumberFormat="1" applyFont="1" applyFill="1" applyBorder="1" applyAlignment="1" applyProtection="1">
      <alignment horizontal="center" vertical="center"/>
      <protection locked="0"/>
    </xf>
    <xf numFmtId="0" fontId="15" fillId="0" borderId="22" xfId="0" applyNumberFormat="1" applyFont="1" applyFill="1" applyBorder="1" applyAlignment="1" applyProtection="1">
      <alignment horizontal="center" vertical="center"/>
      <protection locked="0"/>
    </xf>
    <xf numFmtId="1" fontId="15" fillId="0" borderId="1" xfId="0" applyNumberFormat="1" applyFont="1" applyFill="1" applyBorder="1" applyAlignment="1" applyProtection="1">
      <alignment horizontal="center" vertical="center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2" fontId="15" fillId="7" borderId="1" xfId="0" applyNumberFormat="1" applyFont="1" applyFill="1" applyBorder="1" applyAlignment="1">
      <alignment horizontal="center"/>
    </xf>
    <xf numFmtId="2" fontId="15" fillId="0" borderId="1" xfId="0" applyNumberFormat="1" applyFont="1" applyBorder="1" applyAlignment="1">
      <alignment horizontal="center"/>
    </xf>
    <xf numFmtId="2" fontId="15" fillId="7" borderId="22" xfId="0" applyNumberFormat="1" applyFont="1" applyFill="1" applyBorder="1" applyAlignment="1">
      <alignment horizontal="center"/>
    </xf>
    <xf numFmtId="1" fontId="27" fillId="7" borderId="50" xfId="0" applyNumberFormat="1" applyFont="1" applyFill="1" applyBorder="1" applyAlignment="1" applyProtection="1">
      <alignment horizontal="center" vertical="center"/>
      <protection locked="0"/>
    </xf>
    <xf numFmtId="1" fontId="15" fillId="0" borderId="51" xfId="0" applyNumberFormat="1" applyFont="1" applyFill="1" applyBorder="1" applyAlignment="1" applyProtection="1">
      <alignment horizontal="center" vertical="center"/>
      <protection locked="0"/>
    </xf>
    <xf numFmtId="2" fontId="15" fillId="7" borderId="50" xfId="0" applyNumberFormat="1" applyFont="1" applyFill="1" applyBorder="1" applyAlignment="1" applyProtection="1">
      <alignment horizontal="center" vertical="center"/>
      <protection locked="0"/>
    </xf>
    <xf numFmtId="2" fontId="15" fillId="0" borderId="20" xfId="0" applyNumberFormat="1" applyFont="1" applyFill="1" applyBorder="1" applyAlignment="1" applyProtection="1">
      <alignment horizontal="center" vertical="center"/>
      <protection locked="0"/>
    </xf>
    <xf numFmtId="1" fontId="15" fillId="7" borderId="52" xfId="0" applyNumberFormat="1" applyFont="1" applyFill="1" applyBorder="1" applyAlignment="1" applyProtection="1">
      <alignment horizontal="center" vertical="center"/>
      <protection locked="0"/>
    </xf>
    <xf numFmtId="1" fontId="15" fillId="0" borderId="20" xfId="0" applyNumberFormat="1" applyFont="1" applyFill="1" applyBorder="1" applyAlignment="1" applyProtection="1">
      <alignment horizontal="center" vertical="center"/>
      <protection locked="0"/>
    </xf>
    <xf numFmtId="1" fontId="15" fillId="7" borderId="20" xfId="0" applyNumberFormat="1" applyFont="1" applyFill="1" applyBorder="1" applyAlignment="1" applyProtection="1">
      <alignment horizontal="center" vertical="center"/>
      <protection locked="0"/>
    </xf>
    <xf numFmtId="1" fontId="15" fillId="0" borderId="53" xfId="0" applyNumberFormat="1" applyFont="1" applyFill="1" applyBorder="1" applyAlignment="1" applyProtection="1">
      <alignment horizontal="center" vertical="center"/>
      <protection locked="0"/>
    </xf>
    <xf numFmtId="1" fontId="15" fillId="0" borderId="54" xfId="0" applyNumberFormat="1" applyFont="1" applyFill="1" applyBorder="1" applyAlignment="1" applyProtection="1">
      <alignment horizontal="center" vertical="center"/>
      <protection locked="0"/>
    </xf>
    <xf numFmtId="1" fontId="15" fillId="0" borderId="40" xfId="0" applyNumberFormat="1" applyFont="1" applyFill="1" applyBorder="1" applyAlignment="1" applyProtection="1">
      <alignment horizontal="center" vertical="center"/>
      <protection locked="0"/>
    </xf>
    <xf numFmtId="2" fontId="15" fillId="0" borderId="51" xfId="0" applyNumberFormat="1" applyFont="1" applyFill="1" applyBorder="1" applyAlignment="1" applyProtection="1">
      <alignment horizontal="center" vertical="center"/>
      <protection locked="0"/>
    </xf>
    <xf numFmtId="1" fontId="15" fillId="0" borderId="50" xfId="0" applyNumberFormat="1" applyFont="1" applyFill="1" applyBorder="1" applyAlignment="1" applyProtection="1">
      <alignment horizontal="center" vertical="center"/>
      <protection locked="0"/>
    </xf>
    <xf numFmtId="1" fontId="24" fillId="0" borderId="57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7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8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16" xfId="0" applyNumberFormat="1" applyFont="1" applyFill="1" applyBorder="1" applyAlignment="1" applyProtection="1">
      <alignment horizontal="center" vertical="center" wrapText="1"/>
      <protection locked="0"/>
    </xf>
    <xf numFmtId="169" fontId="24" fillId="0" borderId="16" xfId="0" applyNumberFormat="1" applyFont="1" applyFill="1" applyBorder="1" applyAlignment="1" applyProtection="1">
      <alignment horizontal="center" vertical="center" wrapText="1"/>
      <protection locked="0"/>
    </xf>
    <xf numFmtId="169" fontId="24" fillId="0" borderId="24" xfId="0" applyNumberFormat="1" applyFont="1" applyFill="1" applyBorder="1" applyAlignment="1" applyProtection="1">
      <alignment horizontal="center" vertical="center" wrapText="1"/>
      <protection locked="0"/>
    </xf>
    <xf numFmtId="169" fontId="24" fillId="0" borderId="57" xfId="0" applyNumberFormat="1" applyFont="1" applyFill="1" applyBorder="1" applyAlignment="1" applyProtection="1">
      <alignment horizontal="center" vertical="center" wrapText="1"/>
      <protection locked="0"/>
    </xf>
    <xf numFmtId="169" fontId="24" fillId="0" borderId="17" xfId="0" applyNumberFormat="1" applyFont="1" applyFill="1" applyBorder="1" applyAlignment="1" applyProtection="1">
      <alignment horizontal="center" vertical="center" wrapText="1"/>
      <protection locked="0"/>
    </xf>
    <xf numFmtId="169" fontId="24" fillId="0" borderId="19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28" fillId="0" borderId="0" xfId="0" applyFont="1" applyFill="1" applyProtection="1">
      <protection locked="0"/>
    </xf>
    <xf numFmtId="0" fontId="16" fillId="0" borderId="0" xfId="0" applyFont="1" applyFill="1" applyBorder="1" applyProtection="1">
      <protection locked="0"/>
    </xf>
    <xf numFmtId="0" fontId="16" fillId="0" borderId="0" xfId="0" applyFont="1" applyFill="1" applyProtection="1"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22" fillId="0" borderId="0" xfId="1" applyFont="1" applyFill="1" applyBorder="1" applyAlignment="1">
      <alignment wrapText="1"/>
    </xf>
    <xf numFmtId="0" fontId="22" fillId="0" borderId="0" xfId="1" applyFont="1" applyFill="1" applyAlignment="1">
      <alignment wrapText="1"/>
    </xf>
    <xf numFmtId="0" fontId="21" fillId="7" borderId="29" xfId="0" applyFont="1" applyFill="1" applyBorder="1" applyAlignment="1">
      <alignment horizontal="center" vertical="center" textRotation="90" wrapText="1"/>
    </xf>
    <xf numFmtId="0" fontId="21" fillId="7" borderId="23" xfId="0" applyFont="1" applyFill="1" applyBorder="1" applyAlignment="1">
      <alignment horizontal="center" vertical="center" textRotation="90" wrapText="1"/>
    </xf>
    <xf numFmtId="14" fontId="26" fillId="0" borderId="58" xfId="3" applyNumberFormat="1" applyFont="1" applyFill="1" applyBorder="1" applyAlignment="1">
      <alignment horizontal="center" vertical="center" wrapText="1"/>
    </xf>
    <xf numFmtId="1" fontId="26" fillId="0" borderId="58" xfId="3" applyNumberFormat="1" applyFont="1" applyFill="1" applyBorder="1" applyAlignment="1">
      <alignment horizontal="center" vertical="center" wrapText="1"/>
    </xf>
    <xf numFmtId="1" fontId="15" fillId="0" borderId="5" xfId="0" applyNumberFormat="1" applyFont="1" applyFill="1" applyBorder="1" applyAlignment="1">
      <alignment horizontal="center" vertical="center" wrapText="1"/>
    </xf>
    <xf numFmtId="1" fontId="15" fillId="0" borderId="5" xfId="0" applyNumberFormat="1" applyFont="1" applyFill="1" applyBorder="1" applyAlignment="1">
      <alignment horizontal="center" vertical="center"/>
    </xf>
    <xf numFmtId="1" fontId="15" fillId="0" borderId="14" xfId="0" applyNumberFormat="1" applyFont="1" applyFill="1" applyBorder="1" applyAlignment="1">
      <alignment horizontal="center" vertical="center"/>
    </xf>
    <xf numFmtId="1" fontId="27" fillId="0" borderId="38" xfId="0" applyNumberFormat="1" applyFont="1" applyFill="1" applyBorder="1" applyAlignment="1">
      <alignment horizontal="center" vertical="center"/>
    </xf>
    <xf numFmtId="1" fontId="15" fillId="0" borderId="44" xfId="0" applyNumberFormat="1" applyFont="1" applyFill="1" applyBorder="1" applyAlignment="1" applyProtection="1">
      <alignment horizontal="center" vertical="center"/>
      <protection locked="0"/>
    </xf>
    <xf numFmtId="2" fontId="15" fillId="0" borderId="47" xfId="0" applyNumberFormat="1" applyFont="1" applyFill="1" applyBorder="1" applyAlignment="1">
      <alignment horizontal="center" vertical="center"/>
    </xf>
    <xf numFmtId="2" fontId="15" fillId="0" borderId="42" xfId="0" applyNumberFormat="1" applyFont="1" applyFill="1" applyBorder="1" applyAlignment="1">
      <alignment horizontal="center" vertical="center"/>
    </xf>
    <xf numFmtId="2" fontId="15" fillId="0" borderId="43" xfId="0" applyNumberFormat="1" applyFont="1" applyFill="1" applyBorder="1" applyAlignment="1">
      <alignment horizontal="center" vertical="center"/>
    </xf>
    <xf numFmtId="2" fontId="27" fillId="0" borderId="38" xfId="0" applyNumberFormat="1" applyFont="1" applyFill="1" applyBorder="1" applyAlignment="1">
      <alignment horizontal="center" vertical="center"/>
    </xf>
    <xf numFmtId="0" fontId="15" fillId="0" borderId="38" xfId="0" applyFont="1" applyFill="1" applyBorder="1" applyAlignment="1">
      <alignment horizontal="center" vertical="center"/>
    </xf>
    <xf numFmtId="1" fontId="27" fillId="0" borderId="38" xfId="0" applyNumberFormat="1" applyFont="1" applyFill="1" applyBorder="1" applyAlignment="1">
      <alignment horizontal="center" vertical="center" wrapText="1"/>
    </xf>
    <xf numFmtId="14" fontId="26" fillId="0" borderId="48" xfId="3" applyNumberFormat="1" applyFont="1" applyFill="1" applyBorder="1" applyAlignment="1">
      <alignment horizontal="center" vertical="center" wrapText="1"/>
    </xf>
    <xf numFmtId="1" fontId="26" fillId="0" borderId="48" xfId="3" applyNumberFormat="1" applyFont="1" applyFill="1" applyBorder="1" applyAlignment="1">
      <alignment horizontal="center" vertical="center" wrapText="1"/>
    </xf>
    <xf numFmtId="1" fontId="15" fillId="0" borderId="1" xfId="0" applyNumberFormat="1" applyFont="1" applyFill="1" applyBorder="1" applyAlignment="1">
      <alignment horizontal="center" vertical="center" wrapText="1"/>
    </xf>
    <xf numFmtId="1" fontId="15" fillId="0" borderId="6" xfId="0" applyNumberFormat="1" applyFont="1" applyFill="1" applyBorder="1" applyAlignment="1">
      <alignment horizontal="center" vertical="center" wrapText="1"/>
    </xf>
    <xf numFmtId="1" fontId="15" fillId="0" borderId="59" xfId="0" applyNumberFormat="1" applyFont="1" applyFill="1" applyBorder="1" applyAlignment="1" applyProtection="1">
      <alignment horizontal="center" vertical="center"/>
      <protection locked="0"/>
    </xf>
    <xf numFmtId="1" fontId="15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48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7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2" fontId="15" fillId="0" borderId="8" xfId="0" applyNumberFormat="1" applyFont="1" applyFill="1" applyBorder="1" applyAlignment="1">
      <alignment horizontal="center" vertical="center"/>
    </xf>
    <xf numFmtId="0" fontId="15" fillId="0" borderId="48" xfId="0" applyFont="1" applyFill="1" applyBorder="1" applyAlignment="1">
      <alignment horizontal="center" vertical="center"/>
    </xf>
    <xf numFmtId="1" fontId="15" fillId="0" borderId="1" xfId="0" applyNumberFormat="1" applyFont="1" applyFill="1" applyBorder="1" applyAlignment="1">
      <alignment horizontal="center" vertical="center"/>
    </xf>
    <xf numFmtId="1" fontId="15" fillId="0" borderId="6" xfId="0" applyNumberFormat="1" applyFont="1" applyFill="1" applyBorder="1" applyAlignment="1">
      <alignment horizontal="center" vertical="center"/>
    </xf>
    <xf numFmtId="1" fontId="15" fillId="0" borderId="20" xfId="0" applyNumberFormat="1" applyFont="1" applyFill="1" applyBorder="1" applyAlignment="1">
      <alignment horizontal="center" vertical="center" wrapText="1"/>
    </xf>
    <xf numFmtId="1" fontId="15" fillId="0" borderId="51" xfId="0" applyNumberFormat="1" applyFont="1" applyFill="1" applyBorder="1" applyAlignment="1">
      <alignment horizontal="center" vertical="center" wrapText="1"/>
    </xf>
    <xf numFmtId="1" fontId="27" fillId="0" borderId="57" xfId="0" applyNumberFormat="1" applyFont="1" applyFill="1" applyBorder="1" applyAlignment="1">
      <alignment horizontal="center" vertical="center"/>
    </xf>
    <xf numFmtId="1" fontId="15" fillId="0" borderId="60" xfId="0" applyNumberFormat="1" applyFont="1" applyFill="1" applyBorder="1" applyAlignment="1" applyProtection="1">
      <alignment horizontal="center" vertical="center"/>
      <protection locked="0"/>
    </xf>
    <xf numFmtId="1" fontId="15" fillId="0" borderId="54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3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54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40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9" xfId="0" applyNumberFormat="1" applyFont="1" applyFill="1" applyBorder="1" applyAlignment="1">
      <alignment horizontal="center" vertical="center"/>
    </xf>
    <xf numFmtId="2" fontId="15" fillId="0" borderId="10" xfId="0" applyNumberFormat="1" applyFont="1" applyFill="1" applyBorder="1" applyAlignment="1">
      <alignment horizontal="center" vertical="center"/>
    </xf>
    <xf numFmtId="2" fontId="15" fillId="0" borderId="11" xfId="0" applyNumberFormat="1" applyFont="1" applyFill="1" applyBorder="1" applyAlignment="1">
      <alignment horizontal="center" vertical="center"/>
    </xf>
    <xf numFmtId="2" fontId="15" fillId="0" borderId="54" xfId="0" applyNumberFormat="1" applyFont="1" applyFill="1" applyBorder="1" applyAlignment="1">
      <alignment horizontal="center" vertical="center"/>
    </xf>
    <xf numFmtId="2" fontId="15" fillId="0" borderId="20" xfId="0" applyNumberFormat="1" applyFont="1" applyFill="1" applyBorder="1" applyAlignment="1">
      <alignment horizontal="center" vertical="center"/>
    </xf>
    <xf numFmtId="2" fontId="15" fillId="0" borderId="53" xfId="0" applyNumberFormat="1" applyFont="1" applyFill="1" applyBorder="1" applyAlignment="1">
      <alignment horizontal="center" vertical="center"/>
    </xf>
    <xf numFmtId="0" fontId="15" fillId="0" borderId="49" xfId="0" applyFont="1" applyFill="1" applyBorder="1" applyAlignment="1">
      <alignment horizontal="center" vertical="center"/>
    </xf>
    <xf numFmtId="0" fontId="24" fillId="0" borderId="24" xfId="0" applyNumberFormat="1" applyFont="1" applyFill="1" applyBorder="1" applyAlignment="1">
      <alignment horizontal="center" vertical="center" wrapText="1"/>
    </xf>
    <xf numFmtId="1" fontId="24" fillId="0" borderId="16" xfId="0" applyNumberFormat="1" applyFont="1" applyFill="1" applyBorder="1" applyAlignment="1">
      <alignment horizontal="center" vertical="center" wrapText="1"/>
    </xf>
    <xf numFmtId="1" fontId="24" fillId="0" borderId="17" xfId="0" applyNumberFormat="1" applyFont="1" applyFill="1" applyBorder="1" applyAlignment="1">
      <alignment horizontal="center" vertical="center" wrapText="1"/>
    </xf>
    <xf numFmtId="1" fontId="24" fillId="0" borderId="55" xfId="0" applyNumberFormat="1" applyFont="1" applyFill="1" applyBorder="1" applyAlignment="1">
      <alignment horizontal="center" vertical="center" wrapText="1"/>
    </xf>
    <xf numFmtId="1" fontId="24" fillId="0" borderId="61" xfId="0" applyNumberFormat="1" applyFont="1" applyFill="1" applyBorder="1" applyAlignment="1">
      <alignment horizontal="center" vertical="center" wrapText="1"/>
    </xf>
    <xf numFmtId="1" fontId="24" fillId="0" borderId="18" xfId="0" applyNumberFormat="1" applyFont="1" applyFill="1" applyBorder="1" applyAlignment="1">
      <alignment horizontal="center" vertical="center" wrapText="1"/>
    </xf>
    <xf numFmtId="1" fontId="24" fillId="0" borderId="57" xfId="0" applyNumberFormat="1" applyFont="1" applyFill="1" applyBorder="1" applyAlignment="1">
      <alignment horizontal="center" vertical="center" wrapText="1"/>
    </xf>
    <xf numFmtId="169" fontId="24" fillId="0" borderId="16" xfId="0" applyNumberFormat="1" applyFont="1" applyFill="1" applyBorder="1" applyAlignment="1">
      <alignment horizontal="center" vertical="center" wrapText="1"/>
    </xf>
    <xf numFmtId="169" fontId="24" fillId="0" borderId="24" xfId="0" applyNumberFormat="1" applyFont="1" applyFill="1" applyBorder="1" applyAlignment="1">
      <alignment horizontal="center" vertical="center" wrapText="1"/>
    </xf>
    <xf numFmtId="169" fontId="24" fillId="0" borderId="57" xfId="0" applyNumberFormat="1" applyFont="1" applyFill="1" applyBorder="1" applyAlignment="1">
      <alignment horizontal="center" vertical="center" wrapText="1"/>
    </xf>
    <xf numFmtId="169" fontId="24" fillId="0" borderId="17" xfId="0" applyNumberFormat="1" applyFont="1" applyFill="1" applyBorder="1" applyAlignment="1">
      <alignment horizontal="center" vertical="center" wrapText="1"/>
    </xf>
    <xf numFmtId="169" fontId="24" fillId="0" borderId="19" xfId="0" applyNumberFormat="1" applyFont="1" applyFill="1" applyBorder="1" applyAlignment="1">
      <alignment horizontal="center" vertical="center" wrapText="1"/>
    </xf>
    <xf numFmtId="1" fontId="24" fillId="0" borderId="26" xfId="0" applyNumberFormat="1" applyFont="1" applyFill="1" applyBorder="1" applyAlignment="1">
      <alignment horizontal="center" vertical="center" wrapText="1"/>
    </xf>
    <xf numFmtId="1" fontId="24" fillId="0" borderId="34" xfId="0" applyNumberFormat="1" applyFont="1" applyFill="1" applyBorder="1" applyAlignment="1">
      <alignment horizontal="center" vertical="center" wrapText="1"/>
    </xf>
    <xf numFmtId="0" fontId="15" fillId="0" borderId="0" xfId="0" applyFont="1"/>
    <xf numFmtId="0" fontId="28" fillId="0" borderId="0" xfId="0" applyFont="1" applyFill="1"/>
    <xf numFmtId="0" fontId="16" fillId="0" borderId="0" xfId="0" applyFont="1" applyFill="1" applyBorder="1"/>
    <xf numFmtId="0" fontId="16" fillId="0" borderId="0" xfId="0" applyFont="1" applyFill="1"/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14" fontId="26" fillId="0" borderId="40" xfId="3" applyNumberFormat="1" applyFont="1" applyFill="1" applyBorder="1" applyAlignment="1" applyProtection="1">
      <alignment horizontal="center" vertical="center"/>
      <protection locked="0"/>
    </xf>
    <xf numFmtId="1" fontId="15" fillId="0" borderId="52" xfId="0" applyNumberFormat="1" applyFont="1" applyFill="1" applyBorder="1" applyAlignment="1" applyProtection="1">
      <alignment horizontal="center" vertical="center"/>
    </xf>
    <xf numFmtId="1" fontId="15" fillId="0" borderId="20" xfId="0" applyNumberFormat="1" applyFont="1" applyFill="1" applyBorder="1" applyAlignment="1" applyProtection="1">
      <alignment horizontal="center" vertical="center"/>
    </xf>
    <xf numFmtId="2" fontId="15" fillId="0" borderId="53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15" fillId="0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56" xfId="0" applyFont="1" applyBorder="1" applyAlignment="1">
      <alignment horizontal="center"/>
    </xf>
    <xf numFmtId="1" fontId="27" fillId="0" borderId="29" xfId="0" applyNumberFormat="1" applyFont="1" applyFill="1" applyBorder="1" applyAlignment="1" applyProtection="1">
      <alignment horizontal="center" vertical="center"/>
      <protection locked="0"/>
    </xf>
    <xf numFmtId="1" fontId="27" fillId="0" borderId="23" xfId="0" applyNumberFormat="1" applyFont="1" applyFill="1" applyBorder="1" applyAlignment="1" applyProtection="1">
      <alignment horizontal="center" vertical="center"/>
    </xf>
    <xf numFmtId="2" fontId="15" fillId="0" borderId="54" xfId="0" applyNumberFormat="1" applyFont="1" applyFill="1" applyBorder="1" applyAlignment="1" applyProtection="1">
      <alignment horizontal="center" vertical="center"/>
    </xf>
    <xf numFmtId="2" fontId="27" fillId="0" borderId="23" xfId="0" applyNumberFormat="1" applyFont="1" applyFill="1" applyBorder="1" applyAlignment="1" applyProtection="1">
      <alignment horizontal="center" vertical="center"/>
    </xf>
    <xf numFmtId="2" fontId="15" fillId="0" borderId="54" xfId="0" applyNumberFormat="1" applyFont="1" applyFill="1" applyBorder="1" applyAlignment="1" applyProtection="1">
      <alignment horizontal="center" vertical="center"/>
      <protection locked="0"/>
    </xf>
    <xf numFmtId="0" fontId="24" fillId="0" borderId="57" xfId="0" applyNumberFormat="1" applyFont="1" applyFill="1" applyBorder="1" applyAlignment="1" applyProtection="1">
      <alignment horizontal="center" vertical="center" wrapText="1"/>
      <protection locked="0"/>
    </xf>
    <xf numFmtId="1" fontId="27" fillId="7" borderId="42" xfId="0" applyNumberFormat="1" applyFont="1" applyFill="1" applyBorder="1" applyAlignment="1" applyProtection="1">
      <alignment horizontal="center" vertical="center"/>
      <protection locked="0"/>
    </xf>
    <xf numFmtId="1" fontId="27" fillId="7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49" fontId="17" fillId="0" borderId="1" xfId="0" applyNumberFormat="1" applyFont="1" applyFill="1" applyBorder="1" applyAlignment="1">
      <alignment horizontal="center" vertical="center" wrapText="1"/>
    </xf>
    <xf numFmtId="49" fontId="17" fillId="23" borderId="1" xfId="0" applyNumberFormat="1" applyFont="1" applyFill="1" applyBorder="1" applyAlignment="1">
      <alignment horizontal="center" vertical="center" wrapText="1"/>
    </xf>
    <xf numFmtId="1" fontId="16" fillId="23" borderId="1" xfId="0" applyNumberFormat="1" applyFont="1" applyFill="1" applyBorder="1" applyAlignment="1">
      <alignment horizontal="center" vertical="center" wrapText="1"/>
    </xf>
    <xf numFmtId="49" fontId="17" fillId="24" borderId="1" xfId="0" applyNumberFormat="1" applyFont="1" applyFill="1" applyBorder="1" applyAlignment="1">
      <alignment horizontal="center" vertical="center" wrapText="1"/>
    </xf>
    <xf numFmtId="1" fontId="16" fillId="24" borderId="1" xfId="0" applyNumberFormat="1" applyFont="1" applyFill="1" applyBorder="1" applyAlignment="1">
      <alignment horizontal="center" vertical="center" wrapText="1"/>
    </xf>
    <xf numFmtId="1" fontId="16" fillId="0" borderId="1" xfId="0" applyNumberFormat="1" applyFont="1" applyFill="1" applyBorder="1" applyAlignment="1">
      <alignment horizontal="center" vertical="center" wrapText="1"/>
    </xf>
    <xf numFmtId="49" fontId="17" fillId="25" borderId="1" xfId="0" applyNumberFormat="1" applyFont="1" applyFill="1" applyBorder="1" applyAlignment="1">
      <alignment horizontal="center" vertical="center" wrapText="1"/>
    </xf>
    <xf numFmtId="1" fontId="16" fillId="25" borderId="1" xfId="0" applyNumberFormat="1" applyFont="1" applyFill="1" applyBorder="1" applyAlignment="1">
      <alignment horizontal="center" vertical="center" wrapText="1"/>
    </xf>
    <xf numFmtId="1" fontId="16" fillId="16" borderId="1" xfId="0" applyNumberFormat="1" applyFont="1" applyFill="1" applyBorder="1" applyAlignment="1">
      <alignment horizontal="center" vertical="center" wrapText="1"/>
    </xf>
    <xf numFmtId="0" fontId="8" fillId="0" borderId="0" xfId="0" applyFont="1" applyBorder="1"/>
    <xf numFmtId="0" fontId="31" fillId="0" borderId="1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65" fontId="6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65" fontId="8" fillId="0" borderId="1" xfId="0" applyNumberFormat="1" applyFont="1" applyFill="1" applyBorder="1"/>
    <xf numFmtId="0" fontId="22" fillId="0" borderId="0" xfId="1" applyNumberFormat="1" applyFont="1" applyFill="1" applyBorder="1" applyAlignment="1" applyProtection="1">
      <alignment wrapText="1"/>
      <protection locked="0"/>
    </xf>
    <xf numFmtId="0" fontId="0" fillId="0" borderId="47" xfId="0" applyFont="1" applyBorder="1" applyAlignment="1">
      <alignment horizontal="center"/>
    </xf>
    <xf numFmtId="0" fontId="0" fillId="0" borderId="42" xfId="0" applyFont="1" applyBorder="1" applyAlignment="1">
      <alignment horizontal="center" vertical="center"/>
    </xf>
    <xf numFmtId="0" fontId="0" fillId="0" borderId="46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/>
    </xf>
    <xf numFmtId="0" fontId="0" fillId="0" borderId="63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165" fontId="6" fillId="0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66" fontId="6" fillId="0" borderId="5" xfId="0" applyNumberFormat="1" applyFont="1" applyBorder="1" applyAlignment="1" applyProtection="1">
      <alignment vertical="center"/>
    </xf>
    <xf numFmtId="166" fontId="6" fillId="0" borderId="5" xfId="0" applyNumberFormat="1" applyFont="1" applyBorder="1" applyAlignment="1" applyProtection="1">
      <alignment vertical="center"/>
      <protection locked="0"/>
    </xf>
    <xf numFmtId="166" fontId="6" fillId="0" borderId="5" xfId="0" applyNumberFormat="1" applyFont="1" applyBorder="1" applyAlignment="1" applyProtection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165" fontId="6" fillId="0" borderId="10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66" fontId="6" fillId="0" borderId="10" xfId="0" applyNumberFormat="1" applyFont="1" applyBorder="1" applyAlignment="1" applyProtection="1">
      <alignment vertical="center"/>
    </xf>
    <xf numFmtId="166" fontId="6" fillId="0" borderId="10" xfId="0" applyNumberFormat="1" applyFont="1" applyBorder="1" applyAlignment="1" applyProtection="1">
      <alignment vertical="center"/>
      <protection locked="0"/>
    </xf>
    <xf numFmtId="166" fontId="6" fillId="0" borderId="10" xfId="1" applyNumberFormat="1" applyFont="1" applyBorder="1" applyAlignment="1" applyProtection="1">
      <alignment vertical="center"/>
      <protection locked="0"/>
    </xf>
    <xf numFmtId="166" fontId="6" fillId="0" borderId="10" xfId="1" applyNumberFormat="1" applyFont="1" applyBorder="1" applyAlignment="1" applyProtection="1">
      <alignment vertical="center"/>
    </xf>
    <xf numFmtId="166" fontId="6" fillId="0" borderId="10" xfId="0" applyNumberFormat="1" applyFont="1" applyBorder="1" applyAlignment="1" applyProtection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 shrinkToFit="1"/>
    </xf>
    <xf numFmtId="0" fontId="0" fillId="0" borderId="42" xfId="0" applyFont="1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43" xfId="0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8" xfId="0" applyFont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Font="1" applyFill="1" applyBorder="1" applyAlignment="1">
      <alignment horizontal="center" vertical="center" shrinkToFit="1"/>
    </xf>
    <xf numFmtId="0" fontId="0" fillId="0" borderId="8" xfId="0" applyFont="1" applyFill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Fill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0" xfId="0" applyFont="1" applyBorder="1" applyAlignment="1">
      <alignment horizontal="center" vertical="center" shrinkToFit="1"/>
    </xf>
    <xf numFmtId="0" fontId="0" fillId="0" borderId="11" xfId="0" applyFont="1" applyBorder="1" applyAlignment="1">
      <alignment horizontal="center" vertical="center" shrinkToFit="1"/>
    </xf>
    <xf numFmtId="0" fontId="0" fillId="0" borderId="64" xfId="0" applyBorder="1" applyAlignment="1">
      <alignment horizontal="center" vertical="center" shrinkToFit="1"/>
    </xf>
    <xf numFmtId="0" fontId="0" fillId="0" borderId="63" xfId="0" applyFont="1" applyBorder="1" applyAlignment="1">
      <alignment horizontal="center" vertical="center" shrinkToFit="1"/>
    </xf>
    <xf numFmtId="0" fontId="0" fillId="0" borderId="31" xfId="0" applyFon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65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5" xfId="0" applyFon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NumberForma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63" xfId="0" applyBorder="1" applyAlignment="1">
      <alignment horizontal="center" vertical="center" shrinkToFit="1"/>
    </xf>
    <xf numFmtId="14" fontId="7" fillId="0" borderId="0" xfId="0" applyNumberFormat="1" applyFont="1"/>
    <xf numFmtId="1" fontId="6" fillId="0" borderId="1" xfId="0" applyNumberFormat="1" applyFont="1" applyFill="1" applyBorder="1" applyAlignment="1">
      <alignment horizontal="center" vertical="center"/>
    </xf>
    <xf numFmtId="1" fontId="6" fillId="0" borderId="10" xfId="0" applyNumberFormat="1" applyFont="1" applyFill="1" applyBorder="1" applyAlignment="1">
      <alignment horizontal="center" vertical="center"/>
    </xf>
    <xf numFmtId="1" fontId="6" fillId="0" borderId="5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/>
    <xf numFmtId="165" fontId="24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Border="1" applyProtection="1"/>
    <xf numFmtId="0" fontId="6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 applyProtection="1">
      <alignment horizontal="center" vertical="center"/>
    </xf>
    <xf numFmtId="0" fontId="6" fillId="0" borderId="10" xfId="0" applyNumberFormat="1" applyFont="1" applyBorder="1" applyAlignment="1" applyProtection="1">
      <alignment horizontal="center" vertical="center"/>
    </xf>
    <xf numFmtId="0" fontId="6" fillId="0" borderId="5" xfId="0" applyNumberFormat="1" applyFont="1" applyBorder="1" applyAlignment="1" applyProtection="1">
      <alignment horizontal="center" vertical="center"/>
    </xf>
    <xf numFmtId="0" fontId="8" fillId="0" borderId="1" xfId="0" applyNumberFormat="1" applyFont="1" applyBorder="1"/>
    <xf numFmtId="0" fontId="31" fillId="0" borderId="1" xfId="0" applyNumberFormat="1" applyFont="1" applyBorder="1"/>
    <xf numFmtId="0" fontId="7" fillId="0" borderId="0" xfId="0" applyNumberFormat="1" applyFont="1"/>
    <xf numFmtId="49" fontId="16" fillId="26" borderId="1" xfId="0" applyNumberFormat="1" applyFont="1" applyFill="1" applyBorder="1" applyAlignment="1">
      <alignment horizontal="left" vertical="center"/>
    </xf>
    <xf numFmtId="49" fontId="17" fillId="26" borderId="1" xfId="0" applyNumberFormat="1" applyFont="1" applyFill="1" applyBorder="1" applyAlignment="1">
      <alignment horizontal="center" vertical="center" wrapText="1"/>
    </xf>
    <xf numFmtId="1" fontId="16" fillId="26" borderId="1" xfId="0" applyNumberFormat="1" applyFont="1" applyFill="1" applyBorder="1" applyAlignment="1">
      <alignment horizontal="center" vertical="center" wrapText="1"/>
    </xf>
    <xf numFmtId="0" fontId="16" fillId="26" borderId="1" xfId="0" applyFont="1" applyFill="1" applyBorder="1" applyAlignment="1">
      <alignment horizontal="center" vertical="center" wrapText="1"/>
    </xf>
    <xf numFmtId="0" fontId="16" fillId="26" borderId="0" xfId="0" applyFont="1" applyFill="1" applyAlignment="1">
      <alignment horizontal="center" vertical="center" wrapText="1"/>
    </xf>
    <xf numFmtId="49" fontId="16" fillId="15" borderId="1" xfId="0" applyNumberFormat="1" applyFont="1" applyFill="1" applyBorder="1" applyAlignment="1">
      <alignment horizontal="left" vertical="center"/>
    </xf>
    <xf numFmtId="49" fontId="17" fillId="15" borderId="1" xfId="0" applyNumberFormat="1" applyFont="1" applyFill="1" applyBorder="1" applyAlignment="1">
      <alignment horizontal="center" vertical="center" wrapText="1"/>
    </xf>
    <xf numFmtId="1" fontId="16" fillId="15" borderId="1" xfId="0" applyNumberFormat="1" applyFont="1" applyFill="1" applyBorder="1" applyAlignment="1">
      <alignment horizontal="center" vertical="center" wrapText="1"/>
    </xf>
    <xf numFmtId="0" fontId="16" fillId="15" borderId="1" xfId="0" applyFont="1" applyFill="1" applyBorder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49" fontId="16" fillId="0" borderId="1" xfId="0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 vertical="center" wrapText="1"/>
    </xf>
    <xf numFmtId="49" fontId="16" fillId="27" borderId="1" xfId="0" applyNumberFormat="1" applyFont="1" applyFill="1" applyBorder="1" applyAlignment="1">
      <alignment horizontal="left" vertical="center"/>
    </xf>
    <xf numFmtId="49" fontId="29" fillId="27" borderId="1" xfId="0" applyNumberFormat="1" applyFont="1" applyFill="1" applyBorder="1" applyAlignment="1">
      <alignment horizontal="center" vertical="center" wrapText="1"/>
    </xf>
    <xf numFmtId="1" fontId="30" fillId="27" borderId="1" xfId="0" applyNumberFormat="1" applyFont="1" applyFill="1" applyBorder="1" applyAlignment="1">
      <alignment horizontal="center" vertical="center" wrapText="1"/>
    </xf>
    <xf numFmtId="1" fontId="16" fillId="27" borderId="1" xfId="0" applyNumberFormat="1" applyFont="1" applyFill="1" applyBorder="1" applyAlignment="1">
      <alignment horizontal="center" vertical="center" wrapText="1"/>
    </xf>
    <xf numFmtId="1" fontId="16" fillId="27" borderId="1" xfId="0" applyNumberFormat="1" applyFont="1" applyFill="1" applyBorder="1" applyAlignment="1">
      <alignment horizontal="left" vertical="center" wrapText="1"/>
    </xf>
    <xf numFmtId="0" fontId="16" fillId="27" borderId="1" xfId="0" applyFont="1" applyFill="1" applyBorder="1" applyAlignment="1">
      <alignment horizontal="center" vertical="center" wrapText="1"/>
    </xf>
    <xf numFmtId="0" fontId="16" fillId="27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left" vertical="center" wrapText="1"/>
    </xf>
    <xf numFmtId="0" fontId="0" fillId="0" borderId="8" xfId="0" applyFill="1" applyBorder="1" applyAlignment="1">
      <alignment horizontal="center" vertical="center" shrinkToFit="1"/>
    </xf>
    <xf numFmtId="0" fontId="0" fillId="0" borderId="13" xfId="0" applyFill="1" applyBorder="1" applyAlignment="1">
      <alignment horizontal="center" vertical="center" shrinkToFit="1"/>
    </xf>
    <xf numFmtId="1" fontId="22" fillId="0" borderId="0" xfId="1" applyNumberFormat="1" applyFont="1" applyFill="1" applyAlignment="1">
      <alignment wrapText="1"/>
    </xf>
    <xf numFmtId="0" fontId="11" fillId="3" borderId="0" xfId="0" applyFont="1" applyFill="1" applyAlignment="1">
      <alignment horizontal="left" vertical="center" wrapText="1"/>
    </xf>
    <xf numFmtId="0" fontId="11" fillId="22" borderId="3" xfId="0" applyFont="1" applyFill="1" applyBorder="1" applyAlignment="1">
      <alignment horizontal="center" vertical="center" wrapText="1"/>
    </xf>
    <xf numFmtId="49" fontId="12" fillId="0" borderId="0" xfId="0" applyNumberFormat="1" applyFont="1" applyFill="1" applyBorder="1" applyAlignment="1">
      <alignment horizontal="center" vertical="center" wrapText="1"/>
    </xf>
    <xf numFmtId="0" fontId="21" fillId="0" borderId="0" xfId="1" applyFont="1" applyFill="1" applyBorder="1" applyAlignment="1" applyProtection="1">
      <alignment horizontal="center" vertical="center" wrapText="1"/>
      <protection locked="0"/>
    </xf>
    <xf numFmtId="170" fontId="2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21" fillId="0" borderId="23" xfId="0" applyFont="1" applyFill="1" applyBorder="1" applyAlignment="1" applyProtection="1">
      <alignment horizontal="center" vertical="center" textRotation="90" wrapText="1"/>
      <protection locked="0"/>
    </xf>
    <xf numFmtId="0" fontId="21" fillId="0" borderId="30" xfId="0" applyFont="1" applyFill="1" applyBorder="1" applyAlignment="1" applyProtection="1">
      <alignment horizontal="center" vertical="center" textRotation="90" wrapText="1"/>
      <protection locked="0"/>
    </xf>
    <xf numFmtId="0" fontId="23" fillId="0" borderId="24" xfId="0" applyFont="1" applyFill="1" applyBorder="1" applyAlignment="1" applyProtection="1">
      <alignment horizontal="center" vertical="center"/>
      <protection locked="0"/>
    </xf>
    <xf numFmtId="0" fontId="23" fillId="0" borderId="25" xfId="0" applyFont="1" applyFill="1" applyBorder="1" applyAlignment="1" applyProtection="1">
      <alignment horizontal="center" vertical="center"/>
      <protection locked="0"/>
    </xf>
    <xf numFmtId="0" fontId="23" fillId="0" borderId="26" xfId="0" applyFont="1" applyFill="1" applyBorder="1" applyAlignment="1" applyProtection="1">
      <alignment horizontal="center" vertical="center"/>
      <protection locked="0"/>
    </xf>
    <xf numFmtId="0" fontId="21" fillId="0" borderId="24" xfId="0" applyFont="1" applyFill="1" applyBorder="1" applyAlignment="1" applyProtection="1">
      <alignment horizontal="center" vertical="center" wrapText="1"/>
      <protection locked="0"/>
    </xf>
    <xf numFmtId="0" fontId="21" fillId="0" borderId="25" xfId="0" applyFont="1" applyFill="1" applyBorder="1" applyAlignment="1" applyProtection="1">
      <alignment horizontal="center" vertical="center" wrapText="1"/>
      <protection locked="0"/>
    </xf>
    <xf numFmtId="0" fontId="21" fillId="0" borderId="26" xfId="0" applyFont="1" applyFill="1" applyBorder="1" applyAlignment="1" applyProtection="1">
      <alignment horizontal="center" vertical="center" wrapText="1"/>
      <protection locked="0"/>
    </xf>
    <xf numFmtId="0" fontId="21" fillId="0" borderId="27" xfId="0" applyFont="1" applyFill="1" applyBorder="1" applyAlignment="1" applyProtection="1">
      <alignment horizontal="center" vertical="center" wrapText="1"/>
      <protection locked="0"/>
    </xf>
    <xf numFmtId="0" fontId="21" fillId="0" borderId="28" xfId="0" applyFont="1" applyFill="1" applyBorder="1" applyAlignment="1" applyProtection="1">
      <alignment horizontal="center" vertical="center" wrapText="1"/>
      <protection locked="0"/>
    </xf>
    <xf numFmtId="0" fontId="21" fillId="0" borderId="29" xfId="0" applyFont="1" applyFill="1" applyBorder="1" applyAlignment="1" applyProtection="1">
      <alignment horizontal="center" vertical="center" wrapText="1"/>
      <protection locked="0"/>
    </xf>
    <xf numFmtId="0" fontId="21" fillId="0" borderId="32" xfId="0" applyFont="1" applyFill="1" applyBorder="1" applyAlignment="1" applyProtection="1">
      <alignment horizontal="center" vertical="center" wrapText="1"/>
      <protection locked="0"/>
    </xf>
    <xf numFmtId="0" fontId="21" fillId="0" borderId="33" xfId="0" applyFont="1" applyFill="1" applyBorder="1" applyAlignment="1" applyProtection="1">
      <alignment horizontal="center" vertical="center" wrapText="1"/>
      <protection locked="0"/>
    </xf>
    <xf numFmtId="0" fontId="21" fillId="0" borderId="34" xfId="0" applyFont="1" applyFill="1" applyBorder="1" applyAlignment="1" applyProtection="1">
      <alignment horizontal="center" vertical="center" wrapText="1"/>
      <protection locked="0"/>
    </xf>
    <xf numFmtId="0" fontId="23" fillId="0" borderId="23" xfId="0" applyFont="1" applyFill="1" applyBorder="1" applyAlignment="1" applyProtection="1">
      <alignment horizontal="center" vertical="center" textRotation="90" wrapText="1"/>
      <protection locked="0"/>
    </xf>
    <xf numFmtId="0" fontId="23" fillId="0" borderId="30" xfId="0" applyFont="1" applyFill="1" applyBorder="1" applyAlignment="1" applyProtection="1">
      <alignment horizontal="center" vertical="center" textRotation="90" wrapText="1"/>
      <protection locked="0"/>
    </xf>
    <xf numFmtId="0" fontId="21" fillId="7" borderId="23" xfId="0" applyFont="1" applyFill="1" applyBorder="1" applyAlignment="1" applyProtection="1">
      <alignment horizontal="center" vertical="center" textRotation="90" wrapText="1"/>
      <protection locked="0"/>
    </xf>
    <xf numFmtId="0" fontId="21" fillId="7" borderId="30" xfId="0" applyFont="1" applyFill="1" applyBorder="1" applyAlignment="1" applyProtection="1">
      <alignment horizontal="center" vertical="center" textRotation="90" wrapText="1"/>
      <protection locked="0"/>
    </xf>
    <xf numFmtId="0" fontId="24" fillId="0" borderId="23" xfId="0" applyFont="1" applyFill="1" applyBorder="1" applyAlignment="1" applyProtection="1">
      <alignment horizontal="center" vertical="center" textRotation="90" wrapText="1"/>
      <protection locked="0"/>
    </xf>
    <xf numFmtId="0" fontId="24" fillId="0" borderId="30" xfId="0" applyFont="1" applyFill="1" applyBorder="1" applyAlignment="1" applyProtection="1">
      <alignment horizontal="center" vertical="center" textRotation="90" wrapText="1"/>
      <protection locked="0"/>
    </xf>
    <xf numFmtId="0" fontId="21" fillId="7" borderId="27" xfId="0" applyFont="1" applyFill="1" applyBorder="1" applyAlignment="1" applyProtection="1">
      <alignment horizontal="center" vertical="center" textRotation="90" wrapText="1"/>
      <protection locked="0"/>
    </xf>
    <xf numFmtId="0" fontId="21" fillId="7" borderId="35" xfId="0" applyFont="1" applyFill="1" applyBorder="1" applyAlignment="1" applyProtection="1">
      <alignment horizontal="center" vertical="center" textRotation="90" wrapText="1"/>
      <protection locked="0"/>
    </xf>
    <xf numFmtId="0" fontId="21" fillId="0" borderId="31" xfId="0" applyFont="1" applyFill="1" applyBorder="1" applyAlignment="1" applyProtection="1">
      <alignment horizontal="center" vertical="center" textRotation="90" wrapText="1"/>
      <protection locked="0"/>
    </xf>
    <xf numFmtId="0" fontId="21" fillId="0" borderId="36" xfId="0" applyFont="1" applyFill="1" applyBorder="1" applyAlignment="1" applyProtection="1">
      <alignment horizontal="center" vertical="center" textRotation="90" wrapText="1"/>
      <protection locked="0"/>
    </xf>
    <xf numFmtId="0" fontId="21" fillId="0" borderId="39" xfId="0" applyFont="1" applyFill="1" applyBorder="1" applyAlignment="1" applyProtection="1">
      <alignment horizontal="center" vertical="center" textRotation="90" wrapText="1"/>
      <protection locked="0"/>
    </xf>
    <xf numFmtId="0" fontId="25" fillId="0" borderId="24" xfId="0" applyFont="1" applyFill="1" applyBorder="1" applyAlignment="1" applyProtection="1">
      <alignment horizontal="center" vertical="center" wrapText="1"/>
      <protection locked="0"/>
    </xf>
    <xf numFmtId="0" fontId="25" fillId="0" borderId="25" xfId="0" applyFont="1" applyFill="1" applyBorder="1" applyAlignment="1" applyProtection="1">
      <alignment horizontal="center" vertical="center" wrapText="1"/>
      <protection locked="0"/>
    </xf>
    <xf numFmtId="0" fontId="21" fillId="0" borderId="29" xfId="0" applyFont="1" applyFill="1" applyBorder="1" applyAlignment="1" applyProtection="1">
      <alignment horizontal="center" vertical="center" textRotation="90" wrapText="1"/>
      <protection locked="0"/>
    </xf>
    <xf numFmtId="0" fontId="21" fillId="0" borderId="37" xfId="0" applyFont="1" applyFill="1" applyBorder="1" applyAlignment="1" applyProtection="1">
      <alignment horizontal="center" vertical="center" textRotation="90" wrapText="1"/>
      <protection locked="0"/>
    </xf>
    <xf numFmtId="0" fontId="21" fillId="0" borderId="27" xfId="0" applyFont="1" applyFill="1" applyBorder="1" applyAlignment="1" applyProtection="1">
      <alignment horizontal="center" vertical="center" textRotation="90" wrapText="1"/>
      <protection locked="0"/>
    </xf>
    <xf numFmtId="0" fontId="21" fillId="0" borderId="35" xfId="0" applyFont="1" applyFill="1" applyBorder="1" applyAlignment="1" applyProtection="1">
      <alignment horizontal="center" vertical="center" textRotation="90" wrapText="1"/>
      <protection locked="0"/>
    </xf>
    <xf numFmtId="0" fontId="21" fillId="0" borderId="38" xfId="0" applyFont="1" applyFill="1" applyBorder="1" applyAlignment="1" applyProtection="1">
      <alignment horizontal="center" vertical="center" textRotation="90" wrapText="1"/>
      <protection locked="0"/>
    </xf>
    <xf numFmtId="0" fontId="21" fillId="0" borderId="40" xfId="0" applyFont="1" applyFill="1" applyBorder="1" applyAlignment="1" applyProtection="1">
      <alignment horizontal="center" vertical="center" textRotation="90" wrapText="1"/>
      <protection locked="0"/>
    </xf>
    <xf numFmtId="0" fontId="21" fillId="0" borderId="0" xfId="1" applyFont="1" applyBorder="1" applyAlignment="1" applyProtection="1">
      <alignment horizontal="center" vertical="center" wrapText="1"/>
      <protection locked="0"/>
    </xf>
    <xf numFmtId="170" fontId="21" fillId="0" borderId="0" xfId="1" applyNumberFormat="1" applyFont="1" applyBorder="1" applyAlignment="1" applyProtection="1">
      <alignment horizontal="center" vertical="center" wrapText="1"/>
      <protection locked="0"/>
    </xf>
    <xf numFmtId="0" fontId="21" fillId="0" borderId="23" xfId="0" applyFont="1" applyFill="1" applyBorder="1" applyAlignment="1">
      <alignment horizontal="center" vertical="center" textRotation="90" wrapText="1"/>
    </xf>
    <xf numFmtId="0" fontId="21" fillId="0" borderId="30" xfId="0" applyFont="1" applyFill="1" applyBorder="1" applyAlignment="1">
      <alignment horizontal="center" vertical="center" textRotation="90" wrapText="1"/>
    </xf>
    <xf numFmtId="0" fontId="21" fillId="0" borderId="55" xfId="0" applyFont="1" applyFill="1" applyBorder="1" applyAlignment="1">
      <alignment horizontal="center" vertical="center" textRotation="90" wrapText="1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7" borderId="23" xfId="0" applyFont="1" applyFill="1" applyBorder="1" applyAlignment="1">
      <alignment horizontal="center" vertical="center" textRotation="90" wrapText="1"/>
    </xf>
    <xf numFmtId="0" fontId="21" fillId="7" borderId="30" xfId="0" applyFont="1" applyFill="1" applyBorder="1" applyAlignment="1">
      <alignment horizontal="center" vertical="center" textRotation="90" wrapText="1"/>
    </xf>
    <xf numFmtId="0" fontId="23" fillId="0" borderId="23" xfId="0" applyFont="1" applyFill="1" applyBorder="1" applyAlignment="1">
      <alignment horizontal="center" vertical="center" textRotation="90" wrapText="1"/>
    </xf>
    <xf numFmtId="0" fontId="23" fillId="0" borderId="30" xfId="0" applyFont="1" applyFill="1" applyBorder="1" applyAlignment="1">
      <alignment horizontal="center" vertical="center" textRotation="90" wrapText="1"/>
    </xf>
    <xf numFmtId="0" fontId="25" fillId="7" borderId="24" xfId="0" applyFont="1" applyFill="1" applyBorder="1" applyAlignment="1">
      <alignment horizontal="center" vertical="center" wrapText="1"/>
    </xf>
    <xf numFmtId="0" fontId="25" fillId="7" borderId="26" xfId="0" applyFont="1" applyFill="1" applyBorder="1" applyAlignment="1">
      <alignment horizontal="center" vertical="center" wrapText="1"/>
    </xf>
    <xf numFmtId="0" fontId="24" fillId="0" borderId="23" xfId="0" applyFont="1" applyFill="1" applyBorder="1" applyAlignment="1">
      <alignment horizontal="center" vertical="center" textRotation="90" wrapText="1"/>
    </xf>
    <xf numFmtId="0" fontId="24" fillId="0" borderId="30" xfId="0" applyFont="1" applyFill="1" applyBorder="1" applyAlignment="1">
      <alignment horizontal="center" vertical="center" textRotation="90" wrapText="1"/>
    </xf>
    <xf numFmtId="0" fontId="21" fillId="7" borderId="24" xfId="0" applyFont="1" applyFill="1" applyBorder="1" applyAlignment="1">
      <alignment horizontal="center" vertical="center" wrapText="1"/>
    </xf>
    <xf numFmtId="0" fontId="21" fillId="7" borderId="25" xfId="0" applyFont="1" applyFill="1" applyBorder="1" applyAlignment="1">
      <alignment horizontal="center" vertical="center" wrapText="1"/>
    </xf>
    <xf numFmtId="0" fontId="21" fillId="7" borderId="26" xfId="0" applyFont="1" applyFill="1" applyBorder="1" applyAlignment="1">
      <alignment horizontal="center" vertical="center" wrapText="1"/>
    </xf>
    <xf numFmtId="0" fontId="21" fillId="7" borderId="27" xfId="0" applyFont="1" applyFill="1" applyBorder="1" applyAlignment="1">
      <alignment horizontal="center" vertical="center" wrapText="1"/>
    </xf>
    <xf numFmtId="0" fontId="21" fillId="7" borderId="38" xfId="0" applyFont="1" applyFill="1" applyBorder="1" applyAlignment="1">
      <alignment horizontal="center" vertical="center" textRotation="90" wrapText="1"/>
    </xf>
    <xf numFmtId="0" fontId="21" fillId="7" borderId="40" xfId="0" applyFont="1" applyFill="1" applyBorder="1" applyAlignment="1">
      <alignment horizontal="center" vertical="center" textRotation="90" wrapText="1"/>
    </xf>
    <xf numFmtId="0" fontId="21" fillId="7" borderId="33" xfId="0" applyFont="1" applyFill="1" applyBorder="1" applyAlignment="1">
      <alignment horizontal="center" vertical="center" wrapText="1"/>
    </xf>
    <xf numFmtId="0" fontId="21" fillId="7" borderId="34" xfId="0" applyFont="1" applyFill="1" applyBorder="1" applyAlignment="1">
      <alignment horizontal="center" vertical="center" wrapText="1"/>
    </xf>
    <xf numFmtId="0" fontId="21" fillId="7" borderId="27" xfId="0" applyFont="1" applyFill="1" applyBorder="1" applyAlignment="1">
      <alignment horizontal="center" vertical="center" textRotation="90" wrapText="1"/>
    </xf>
    <xf numFmtId="0" fontId="21" fillId="7" borderId="35" xfId="0" applyFont="1" applyFill="1" applyBorder="1" applyAlignment="1">
      <alignment horizontal="center" vertical="center" textRotation="90" wrapText="1"/>
    </xf>
    <xf numFmtId="0" fontId="8" fillId="0" borderId="6" xfId="0" applyFont="1" applyFill="1" applyBorder="1" applyAlignment="1">
      <alignment horizontal="left"/>
    </xf>
    <xf numFmtId="0" fontId="8" fillId="0" borderId="2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/>
    </xf>
    <xf numFmtId="0" fontId="6" fillId="2" borderId="6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textRotation="90" wrapText="1"/>
    </xf>
    <xf numFmtId="0" fontId="6" fillId="2" borderId="5" xfId="0" applyFont="1" applyFill="1" applyBorder="1" applyAlignment="1">
      <alignment horizontal="center" vertical="center" textRotation="90" wrapText="1"/>
    </xf>
    <xf numFmtId="0" fontId="6" fillId="2" borderId="20" xfId="0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4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textRotation="90" wrapText="1"/>
    </xf>
    <xf numFmtId="0" fontId="6" fillId="0" borderId="5" xfId="0" applyFont="1" applyBorder="1" applyAlignment="1">
      <alignment horizontal="center" textRotation="90" wrapText="1"/>
    </xf>
    <xf numFmtId="0" fontId="6" fillId="2" borderId="20" xfId="0" applyNumberFormat="1" applyFont="1" applyFill="1" applyBorder="1" applyAlignment="1">
      <alignment horizontal="center" vertical="center" wrapText="1"/>
    </xf>
    <xf numFmtId="0" fontId="6" fillId="2" borderId="21" xfId="0" applyNumberFormat="1" applyFont="1" applyFill="1" applyBorder="1" applyAlignment="1">
      <alignment horizontal="center" vertical="center" wrapText="1"/>
    </xf>
    <xf numFmtId="0" fontId="6" fillId="2" borderId="5" xfId="0" applyNumberFormat="1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6" fillId="2" borderId="51" xfId="0" applyFont="1" applyFill="1" applyBorder="1" applyAlignment="1">
      <alignment horizontal="center" vertical="center" wrapText="1"/>
    </xf>
    <xf numFmtId="0" fontId="6" fillId="2" borderId="52" xfId="0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justify" textRotation="90"/>
    </xf>
    <xf numFmtId="0" fontId="6" fillId="0" borderId="21" xfId="0" applyFont="1" applyBorder="1" applyAlignment="1">
      <alignment horizontal="center" vertical="justify" textRotation="90"/>
    </xf>
    <xf numFmtId="0" fontId="6" fillId="0" borderId="5" xfId="0" applyFont="1" applyBorder="1" applyAlignment="1">
      <alignment horizontal="center" vertical="justify" textRotation="90"/>
    </xf>
    <xf numFmtId="0" fontId="6" fillId="0" borderId="6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wrapText="1"/>
    </xf>
    <xf numFmtId="167" fontId="3" fillId="0" borderId="3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textRotation="90" wrapText="1"/>
    </xf>
    <xf numFmtId="0" fontId="3" fillId="0" borderId="0" xfId="0" applyFont="1" applyAlignment="1">
      <alignment horizontal="center" wrapText="1"/>
    </xf>
    <xf numFmtId="170" fontId="3" fillId="0" borderId="3" xfId="0" applyNumberFormat="1" applyFont="1" applyBorder="1" applyAlignment="1">
      <alignment horizontal="center" vertical="center"/>
    </xf>
  </cellXfs>
  <cellStyles count="4">
    <cellStyle name="Обычный" xfId="0" builtinId="0"/>
    <cellStyle name="Обычный 2" xfId="1"/>
    <cellStyle name="Обычный_Документаці ДЕФ" xfId="3"/>
    <cellStyle name="Финансовый 2" xfId="2"/>
  </cellStyles>
  <dxfs count="8"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  <colors>
    <mruColors>
      <color rgb="FFFF66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A1097"/>
  <sheetViews>
    <sheetView topLeftCell="A115" workbookViewId="0">
      <selection activeCell="H136" sqref="H136"/>
    </sheetView>
  </sheetViews>
  <sheetFormatPr defaultRowHeight="12.75"/>
  <cols>
    <col min="1" max="1" width="38.140625" style="62" customWidth="1"/>
    <col min="2" max="6" width="7.140625" style="63" customWidth="1"/>
    <col min="7" max="7" width="7.140625" style="409" customWidth="1"/>
    <col min="8" max="8" width="6.5703125" style="63" customWidth="1"/>
    <col min="9" max="9" width="8.42578125" style="414" customWidth="1"/>
    <col min="10" max="10" width="7.140625" style="423" customWidth="1"/>
    <col min="11" max="14" width="7.140625" style="63" customWidth="1"/>
    <col min="15" max="15" width="4.5703125" style="94" customWidth="1"/>
    <col min="16" max="16" width="4" style="63" customWidth="1"/>
    <col min="17" max="18" width="4.140625" style="63" customWidth="1"/>
    <col min="19" max="19" width="26" style="62" customWidth="1"/>
    <col min="20" max="20" width="9.28515625" style="99" customWidth="1"/>
    <col min="21" max="21" width="15.28515625" style="63" customWidth="1"/>
    <col min="22" max="22" width="30" style="63" customWidth="1"/>
    <col min="23" max="24" width="12.140625" style="56" customWidth="1"/>
    <col min="25" max="25" width="9.140625" style="62" customWidth="1"/>
    <col min="26" max="16384" width="9.140625" style="63"/>
  </cols>
  <sheetData>
    <row r="1" spans="1:27" s="58" customFormat="1" ht="18">
      <c r="A1" s="428" t="s">
        <v>76</v>
      </c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52"/>
      <c r="N1" s="52"/>
      <c r="O1" s="53"/>
      <c r="P1" s="53"/>
      <c r="Q1" s="53"/>
      <c r="R1" s="53"/>
      <c r="S1" s="54"/>
      <c r="T1" s="53"/>
      <c r="U1" s="53"/>
      <c r="V1" s="53"/>
      <c r="W1" s="55"/>
      <c r="X1" s="56"/>
      <c r="Y1" s="57"/>
    </row>
    <row r="2" spans="1:27" ht="18" customHeight="1">
      <c r="A2" s="52">
        <v>6</v>
      </c>
      <c r="B2" s="424"/>
      <c r="C2" s="424"/>
      <c r="D2" s="424"/>
      <c r="E2" s="424"/>
      <c r="F2" s="424"/>
      <c r="G2" s="429">
        <v>2024</v>
      </c>
      <c r="H2" s="429"/>
      <c r="I2" s="429"/>
      <c r="J2" s="59" t="s">
        <v>77</v>
      </c>
      <c r="K2" s="59"/>
      <c r="L2" s="59"/>
      <c r="M2" s="59"/>
      <c r="N2" s="59"/>
      <c r="O2" s="430" t="s">
        <v>78</v>
      </c>
      <c r="P2" s="430"/>
      <c r="Q2" s="430"/>
      <c r="R2" s="60">
        <v>8</v>
      </c>
      <c r="S2" s="54" t="s">
        <v>79</v>
      </c>
      <c r="T2" s="61"/>
      <c r="U2" s="53"/>
      <c r="V2" s="53"/>
      <c r="W2" s="55"/>
    </row>
    <row r="3" spans="1:27" s="69" customFormat="1" ht="12.75" customHeight="1">
      <c r="A3" s="64" t="s">
        <v>80</v>
      </c>
      <c r="B3" s="123" t="s">
        <v>81</v>
      </c>
      <c r="C3" s="123" t="s">
        <v>2037</v>
      </c>
      <c r="D3" s="123"/>
      <c r="E3" s="123" t="s">
        <v>82</v>
      </c>
      <c r="F3" s="415"/>
      <c r="G3" s="405" t="s">
        <v>2038</v>
      </c>
      <c r="H3" s="123"/>
      <c r="I3" s="410" t="s">
        <v>2067</v>
      </c>
      <c r="J3" s="417" t="s">
        <v>2039</v>
      </c>
      <c r="K3" s="123"/>
      <c r="L3" s="123"/>
      <c r="M3" s="64"/>
      <c r="N3" s="64"/>
      <c r="O3" s="65"/>
      <c r="P3" s="65"/>
      <c r="Q3" s="65"/>
      <c r="R3" s="65"/>
      <c r="S3" s="66"/>
      <c r="T3" s="65"/>
      <c r="U3" s="65"/>
      <c r="V3" s="65"/>
      <c r="W3" s="67"/>
      <c r="X3" s="67"/>
      <c r="Y3" s="66"/>
      <c r="Z3" s="68"/>
      <c r="AA3" s="65"/>
    </row>
    <row r="4" spans="1:27" s="69" customFormat="1" ht="33.75" customHeight="1">
      <c r="A4" s="70" t="s">
        <v>83</v>
      </c>
      <c r="B4" s="314" t="s">
        <v>84</v>
      </c>
      <c r="C4" s="316" t="s">
        <v>2031</v>
      </c>
      <c r="D4" s="313" t="s">
        <v>85</v>
      </c>
      <c r="E4" s="319" t="s">
        <v>86</v>
      </c>
      <c r="F4" s="313" t="s">
        <v>87</v>
      </c>
      <c r="G4" s="406" t="s">
        <v>88</v>
      </c>
      <c r="H4" s="313" t="s">
        <v>89</v>
      </c>
      <c r="I4" s="411" t="s">
        <v>90</v>
      </c>
      <c r="J4" s="418" t="s">
        <v>2032</v>
      </c>
      <c r="K4" s="71" t="s">
        <v>2033</v>
      </c>
      <c r="L4" s="71" t="s">
        <v>2034</v>
      </c>
      <c r="M4" s="71" t="s">
        <v>2035</v>
      </c>
      <c r="N4" s="71" t="s">
        <v>2036</v>
      </c>
      <c r="O4" s="70" t="s">
        <v>91</v>
      </c>
      <c r="P4" s="72" t="s">
        <v>92</v>
      </c>
      <c r="Q4" s="72" t="s">
        <v>93</v>
      </c>
      <c r="R4" s="72" t="s">
        <v>2046</v>
      </c>
      <c r="S4" s="70" t="s">
        <v>94</v>
      </c>
      <c r="T4" s="70" t="s">
        <v>95</v>
      </c>
      <c r="U4" s="70" t="s">
        <v>96</v>
      </c>
      <c r="V4" s="70" t="s">
        <v>97</v>
      </c>
      <c r="W4" s="73" t="s">
        <v>1964</v>
      </c>
      <c r="X4" s="73" t="s">
        <v>98</v>
      </c>
      <c r="Y4" s="53"/>
      <c r="Z4" s="53"/>
      <c r="AA4" s="65"/>
    </row>
    <row r="5" spans="1:27">
      <c r="A5" s="74" t="s">
        <v>99</v>
      </c>
      <c r="B5" s="315"/>
      <c r="C5" s="317"/>
      <c r="D5" s="318"/>
      <c r="E5" s="320"/>
      <c r="F5" s="318"/>
      <c r="G5" s="407"/>
      <c r="H5" s="75"/>
      <c r="I5" s="412"/>
      <c r="J5" s="419"/>
      <c r="K5" s="75"/>
      <c r="L5" s="75"/>
      <c r="M5" s="75"/>
      <c r="N5" s="75"/>
      <c r="O5" s="77">
        <v>6.1</v>
      </c>
      <c r="P5" s="78">
        <v>3</v>
      </c>
      <c r="Q5" s="78"/>
      <c r="R5" s="79" t="s">
        <v>2047</v>
      </c>
      <c r="S5" s="80" t="s">
        <v>2050</v>
      </c>
      <c r="T5" s="81" t="s">
        <v>43</v>
      </c>
      <c r="U5" s="78" t="s">
        <v>101</v>
      </c>
      <c r="V5" s="78" t="s">
        <v>102</v>
      </c>
      <c r="W5" s="87" t="s">
        <v>1965</v>
      </c>
      <c r="X5" s="82" t="s">
        <v>104</v>
      </c>
      <c r="Y5" s="83" t="s">
        <v>105</v>
      </c>
      <c r="Z5" s="79"/>
      <c r="AA5" s="79"/>
    </row>
    <row r="6" spans="1:27">
      <c r="A6" s="74" t="s">
        <v>99</v>
      </c>
      <c r="B6" s="315"/>
      <c r="C6" s="317"/>
      <c r="D6" s="318"/>
      <c r="E6" s="320">
        <v>7</v>
      </c>
      <c r="F6" s="318"/>
      <c r="G6" s="407"/>
      <c r="H6" s="75"/>
      <c r="I6" s="412"/>
      <c r="J6" s="419"/>
      <c r="K6" s="75"/>
      <c r="L6" s="75"/>
      <c r="M6" s="75"/>
      <c r="N6" s="75"/>
      <c r="O6" s="77">
        <v>6.1</v>
      </c>
      <c r="P6" s="78">
        <v>3</v>
      </c>
      <c r="Q6" s="78"/>
      <c r="R6" s="79" t="s">
        <v>2047</v>
      </c>
      <c r="S6" s="80" t="s">
        <v>2050</v>
      </c>
      <c r="T6" s="81" t="s">
        <v>43</v>
      </c>
      <c r="U6" s="78" t="s">
        <v>101</v>
      </c>
      <c r="V6" s="78" t="s">
        <v>102</v>
      </c>
      <c r="W6" s="87" t="s">
        <v>1965</v>
      </c>
      <c r="X6" s="82" t="s">
        <v>104</v>
      </c>
      <c r="Y6" s="83"/>
      <c r="Z6" s="79"/>
      <c r="AA6" s="79"/>
    </row>
    <row r="7" spans="1:27">
      <c r="A7" s="74" t="s">
        <v>99</v>
      </c>
      <c r="B7" s="315"/>
      <c r="C7" s="317">
        <v>17</v>
      </c>
      <c r="D7" s="318"/>
      <c r="E7" s="320"/>
      <c r="F7" s="318"/>
      <c r="G7" s="407"/>
      <c r="H7" s="75"/>
      <c r="I7" s="412"/>
      <c r="J7" s="419"/>
      <c r="K7" s="75"/>
      <c r="L7" s="75"/>
      <c r="M7" s="75"/>
      <c r="N7" s="75"/>
      <c r="O7" s="77">
        <v>6.1</v>
      </c>
      <c r="P7" s="78">
        <v>3</v>
      </c>
      <c r="Q7" s="78"/>
      <c r="R7" s="79" t="s">
        <v>2047</v>
      </c>
      <c r="S7" s="80" t="s">
        <v>2050</v>
      </c>
      <c r="T7" s="81" t="s">
        <v>43</v>
      </c>
      <c r="U7" s="84" t="s">
        <v>101</v>
      </c>
      <c r="V7" s="84" t="s">
        <v>102</v>
      </c>
      <c r="W7" s="87" t="s">
        <v>1965</v>
      </c>
      <c r="X7" s="85" t="s">
        <v>104</v>
      </c>
    </row>
    <row r="8" spans="1:27">
      <c r="A8" s="74" t="s">
        <v>99</v>
      </c>
      <c r="B8" s="315"/>
      <c r="C8" s="317"/>
      <c r="D8" s="318"/>
      <c r="E8" s="320">
        <v>26</v>
      </c>
      <c r="F8" s="318"/>
      <c r="G8" s="407"/>
      <c r="H8" s="75"/>
      <c r="I8" s="412"/>
      <c r="J8" s="419"/>
      <c r="K8" s="75"/>
      <c r="L8" s="75"/>
      <c r="M8" s="75"/>
      <c r="N8" s="75"/>
      <c r="O8" s="77">
        <v>6.1</v>
      </c>
      <c r="P8" s="78">
        <v>3</v>
      </c>
      <c r="Q8" s="78"/>
      <c r="R8" s="79" t="s">
        <v>2047</v>
      </c>
      <c r="S8" s="80" t="s">
        <v>2050</v>
      </c>
      <c r="T8" s="81" t="s">
        <v>43</v>
      </c>
      <c r="U8" s="84" t="s">
        <v>101</v>
      </c>
      <c r="V8" s="84" t="s">
        <v>102</v>
      </c>
      <c r="W8" s="87" t="s">
        <v>1965</v>
      </c>
      <c r="X8" s="85" t="s">
        <v>104</v>
      </c>
    </row>
    <row r="9" spans="1:27">
      <c r="A9" s="74" t="s">
        <v>99</v>
      </c>
      <c r="B9" s="315"/>
      <c r="C9" s="317"/>
      <c r="D9" s="318"/>
      <c r="E9" s="320"/>
      <c r="F9" s="318"/>
      <c r="G9" s="407"/>
      <c r="H9" s="75"/>
      <c r="I9" s="412"/>
      <c r="J9" s="419"/>
      <c r="K9" s="75"/>
      <c r="L9" s="75"/>
      <c r="M9" s="75"/>
      <c r="N9" s="75"/>
      <c r="O9" s="77">
        <v>6.1</v>
      </c>
      <c r="P9" s="78">
        <v>3</v>
      </c>
      <c r="Q9" s="78"/>
      <c r="R9" s="79" t="s">
        <v>2047</v>
      </c>
      <c r="S9" s="80" t="s">
        <v>2050</v>
      </c>
      <c r="T9" s="81" t="s">
        <v>43</v>
      </c>
      <c r="U9" s="84" t="s">
        <v>101</v>
      </c>
      <c r="V9" s="84" t="s">
        <v>102</v>
      </c>
      <c r="W9" s="87" t="s">
        <v>1965</v>
      </c>
      <c r="X9" s="85" t="s">
        <v>104</v>
      </c>
    </row>
    <row r="10" spans="1:27">
      <c r="A10" s="86" t="s">
        <v>107</v>
      </c>
      <c r="B10" s="315"/>
      <c r="C10" s="317"/>
      <c r="D10" s="318"/>
      <c r="E10" s="320"/>
      <c r="F10" s="318"/>
      <c r="G10" s="407"/>
      <c r="H10" s="75"/>
      <c r="I10" s="412"/>
      <c r="J10" s="419"/>
      <c r="K10" s="75"/>
      <c r="L10" s="75"/>
      <c r="M10" s="75"/>
      <c r="N10" s="75"/>
      <c r="O10" s="77">
        <v>4.0999999999999996</v>
      </c>
      <c r="P10" s="78">
        <v>1</v>
      </c>
      <c r="Q10" s="78"/>
      <c r="R10" s="79" t="s">
        <v>2047</v>
      </c>
      <c r="S10" s="80" t="s">
        <v>49</v>
      </c>
      <c r="T10" s="81" t="s">
        <v>43</v>
      </c>
      <c r="U10" s="84" t="s">
        <v>108</v>
      </c>
      <c r="V10" s="84" t="s">
        <v>109</v>
      </c>
      <c r="W10" s="87" t="s">
        <v>1965</v>
      </c>
      <c r="X10" s="87" t="s">
        <v>104</v>
      </c>
      <c r="Y10" s="83"/>
      <c r="Z10" s="79"/>
      <c r="AA10" s="79"/>
    </row>
    <row r="11" spans="1:27">
      <c r="A11" s="86" t="s">
        <v>107</v>
      </c>
      <c r="B11" s="315"/>
      <c r="C11" s="317"/>
      <c r="D11" s="318"/>
      <c r="E11" s="320">
        <v>10</v>
      </c>
      <c r="F11" s="318"/>
      <c r="G11" s="407"/>
      <c r="H11" s="75"/>
      <c r="I11" s="412"/>
      <c r="J11" s="419"/>
      <c r="K11" s="75"/>
      <c r="L11" s="75"/>
      <c r="M11" s="75"/>
      <c r="N11" s="75"/>
      <c r="O11" s="77">
        <v>4.0999999999999996</v>
      </c>
      <c r="P11" s="78">
        <v>1</v>
      </c>
      <c r="Q11" s="78"/>
      <c r="R11" s="79" t="s">
        <v>2047</v>
      </c>
      <c r="S11" s="80" t="s">
        <v>49</v>
      </c>
      <c r="T11" s="81" t="s">
        <v>43</v>
      </c>
      <c r="U11" s="84" t="s">
        <v>108</v>
      </c>
      <c r="V11" s="84" t="s">
        <v>109</v>
      </c>
      <c r="W11" s="87" t="s">
        <v>1965</v>
      </c>
      <c r="X11" s="87" t="s">
        <v>104</v>
      </c>
      <c r="Y11" s="83"/>
      <c r="Z11" s="79"/>
      <c r="AA11" s="79"/>
    </row>
    <row r="12" spans="1:27">
      <c r="A12" s="86" t="s">
        <v>107</v>
      </c>
      <c r="B12" s="315"/>
      <c r="C12" s="317">
        <v>18</v>
      </c>
      <c r="D12" s="318"/>
      <c r="E12" s="320"/>
      <c r="F12" s="318"/>
      <c r="G12" s="407"/>
      <c r="H12" s="75"/>
      <c r="I12" s="412"/>
      <c r="J12" s="419"/>
      <c r="K12" s="75"/>
      <c r="L12" s="75"/>
      <c r="M12" s="75"/>
      <c r="N12" s="75"/>
      <c r="O12" s="77">
        <v>4.0999999999999996</v>
      </c>
      <c r="P12" s="78">
        <v>1</v>
      </c>
      <c r="Q12" s="78"/>
      <c r="R12" s="79" t="s">
        <v>2047</v>
      </c>
      <c r="S12" s="80" t="s">
        <v>49</v>
      </c>
      <c r="T12" s="81" t="s">
        <v>43</v>
      </c>
      <c r="U12" s="84" t="s">
        <v>108</v>
      </c>
      <c r="V12" s="84" t="s">
        <v>109</v>
      </c>
      <c r="W12" s="87" t="s">
        <v>1965</v>
      </c>
      <c r="X12" s="87" t="s">
        <v>104</v>
      </c>
    </row>
    <row r="13" spans="1:27">
      <c r="A13" s="86"/>
      <c r="B13" s="315"/>
      <c r="C13" s="317"/>
      <c r="D13" s="318"/>
      <c r="E13" s="320">
        <v>27</v>
      </c>
      <c r="F13" s="318"/>
      <c r="G13" s="407"/>
      <c r="H13" s="75"/>
      <c r="I13" s="412"/>
      <c r="J13" s="419"/>
      <c r="K13" s="75"/>
      <c r="L13" s="75"/>
      <c r="M13" s="75"/>
      <c r="N13" s="75"/>
      <c r="O13" s="77">
        <v>4.0999999999999996</v>
      </c>
      <c r="P13" s="78">
        <v>1</v>
      </c>
      <c r="Q13" s="78"/>
      <c r="R13" s="79" t="s">
        <v>2047</v>
      </c>
      <c r="S13" s="80" t="s">
        <v>49</v>
      </c>
      <c r="T13" s="81" t="s">
        <v>43</v>
      </c>
      <c r="U13" s="84" t="s">
        <v>108</v>
      </c>
      <c r="V13" s="84" t="s">
        <v>109</v>
      </c>
      <c r="W13" s="87" t="s">
        <v>1965</v>
      </c>
      <c r="X13" s="87" t="s">
        <v>104</v>
      </c>
    </row>
    <row r="14" spans="1:27">
      <c r="A14" s="86" t="s">
        <v>107</v>
      </c>
      <c r="B14" s="315"/>
      <c r="C14" s="317"/>
      <c r="D14" s="318"/>
      <c r="E14" s="320"/>
      <c r="F14" s="318"/>
      <c r="G14" s="407"/>
      <c r="H14" s="75"/>
      <c r="I14" s="412"/>
      <c r="J14" s="419"/>
      <c r="K14" s="75"/>
      <c r="L14" s="75"/>
      <c r="M14" s="75"/>
      <c r="N14" s="75"/>
      <c r="O14" s="77">
        <v>4.0999999999999996</v>
      </c>
      <c r="P14" s="78">
        <v>1</v>
      </c>
      <c r="Q14" s="78"/>
      <c r="R14" s="79" t="s">
        <v>2047</v>
      </c>
      <c r="S14" s="80" t="s">
        <v>49</v>
      </c>
      <c r="T14" s="81" t="s">
        <v>43</v>
      </c>
      <c r="U14" s="84" t="s">
        <v>108</v>
      </c>
      <c r="V14" s="84" t="s">
        <v>109</v>
      </c>
      <c r="W14" s="87" t="s">
        <v>1965</v>
      </c>
      <c r="X14" s="87" t="s">
        <v>104</v>
      </c>
    </row>
    <row r="15" spans="1:27" ht="25.5">
      <c r="A15" s="88" t="s">
        <v>110</v>
      </c>
      <c r="B15" s="315"/>
      <c r="C15" s="317"/>
      <c r="D15" s="318"/>
      <c r="E15" s="320"/>
      <c r="F15" s="318"/>
      <c r="G15" s="407"/>
      <c r="H15" s="75"/>
      <c r="I15" s="412"/>
      <c r="J15" s="419"/>
      <c r="K15" s="75"/>
      <c r="L15" s="75"/>
      <c r="M15" s="75"/>
      <c r="N15" s="75"/>
      <c r="O15" s="77">
        <v>7.6</v>
      </c>
      <c r="P15" s="78">
        <v>0</v>
      </c>
      <c r="Q15" s="78"/>
      <c r="R15" s="79" t="s">
        <v>2047</v>
      </c>
      <c r="S15" s="89" t="s">
        <v>49</v>
      </c>
      <c r="T15" s="90" t="s">
        <v>1949</v>
      </c>
      <c r="U15" s="90" t="s">
        <v>111</v>
      </c>
      <c r="V15" s="78"/>
      <c r="W15" s="87" t="s">
        <v>1965</v>
      </c>
      <c r="X15" s="87" t="s">
        <v>104</v>
      </c>
      <c r="Y15" s="83"/>
      <c r="Z15" s="79"/>
      <c r="AA15" s="79"/>
    </row>
    <row r="16" spans="1:27" ht="25.5">
      <c r="A16" s="88" t="s">
        <v>110</v>
      </c>
      <c r="B16" s="315"/>
      <c r="C16" s="317"/>
      <c r="D16" s="318"/>
      <c r="E16" s="320">
        <v>11</v>
      </c>
      <c r="F16" s="318"/>
      <c r="G16" s="407"/>
      <c r="H16" s="75"/>
      <c r="I16" s="412"/>
      <c r="J16" s="419"/>
      <c r="K16" s="75"/>
      <c r="L16" s="75"/>
      <c r="M16" s="75"/>
      <c r="N16" s="75"/>
      <c r="O16" s="77">
        <v>7.6</v>
      </c>
      <c r="P16" s="78">
        <v>0</v>
      </c>
      <c r="Q16" s="78"/>
      <c r="R16" s="79" t="s">
        <v>2047</v>
      </c>
      <c r="S16" s="89" t="s">
        <v>49</v>
      </c>
      <c r="T16" s="90" t="s">
        <v>1949</v>
      </c>
      <c r="U16" s="90" t="s">
        <v>111</v>
      </c>
      <c r="V16" s="78"/>
      <c r="W16" s="87" t="s">
        <v>1965</v>
      </c>
      <c r="X16" s="87" t="s">
        <v>104</v>
      </c>
      <c r="Y16" s="83"/>
      <c r="Z16" s="79"/>
      <c r="AA16" s="79"/>
    </row>
    <row r="17" spans="1:24" ht="25.5">
      <c r="A17" s="88" t="s">
        <v>110</v>
      </c>
      <c r="B17" s="315"/>
      <c r="C17" s="317">
        <v>19</v>
      </c>
      <c r="D17" s="318"/>
      <c r="E17" s="320"/>
      <c r="F17" s="318"/>
      <c r="G17" s="407"/>
      <c r="H17" s="75"/>
      <c r="I17" s="412"/>
      <c r="J17" s="419"/>
      <c r="K17" s="75"/>
      <c r="L17" s="75"/>
      <c r="M17" s="75"/>
      <c r="N17" s="75"/>
      <c r="O17" s="77">
        <v>7.6</v>
      </c>
      <c r="P17" s="78">
        <v>0</v>
      </c>
      <c r="Q17" s="78"/>
      <c r="R17" s="79" t="s">
        <v>2047</v>
      </c>
      <c r="S17" s="89" t="s">
        <v>49</v>
      </c>
      <c r="T17" s="90" t="s">
        <v>1949</v>
      </c>
      <c r="U17" s="90" t="s">
        <v>111</v>
      </c>
      <c r="V17" s="78"/>
      <c r="W17" s="87" t="s">
        <v>1965</v>
      </c>
      <c r="X17" s="87" t="s">
        <v>104</v>
      </c>
    </row>
    <row r="18" spans="1:24" ht="25.5">
      <c r="A18" s="88" t="s">
        <v>110</v>
      </c>
      <c r="B18" s="315"/>
      <c r="C18" s="317"/>
      <c r="D18" s="318"/>
      <c r="E18" s="320">
        <v>28</v>
      </c>
      <c r="F18" s="318"/>
      <c r="G18" s="407"/>
      <c r="H18" s="75"/>
      <c r="I18" s="412"/>
      <c r="J18" s="419"/>
      <c r="K18" s="75"/>
      <c r="L18" s="75"/>
      <c r="M18" s="75"/>
      <c r="N18" s="75"/>
      <c r="O18" s="77">
        <v>7.6</v>
      </c>
      <c r="P18" s="78">
        <v>0</v>
      </c>
      <c r="Q18" s="78"/>
      <c r="R18" s="79" t="s">
        <v>2047</v>
      </c>
      <c r="S18" s="89" t="s">
        <v>49</v>
      </c>
      <c r="T18" s="90" t="s">
        <v>1949</v>
      </c>
      <c r="U18" s="90" t="s">
        <v>111</v>
      </c>
      <c r="V18" s="78"/>
      <c r="W18" s="87" t="s">
        <v>1965</v>
      </c>
      <c r="X18" s="87" t="s">
        <v>104</v>
      </c>
    </row>
    <row r="19" spans="1:24" ht="25.5">
      <c r="A19" s="88" t="s">
        <v>110</v>
      </c>
      <c r="B19" s="315"/>
      <c r="C19" s="317"/>
      <c r="D19" s="318"/>
      <c r="E19" s="320"/>
      <c r="F19" s="318"/>
      <c r="G19" s="407"/>
      <c r="H19" s="75"/>
      <c r="I19" s="412"/>
      <c r="J19" s="419"/>
      <c r="K19" s="75"/>
      <c r="L19" s="75"/>
      <c r="M19" s="75"/>
      <c r="N19" s="75"/>
      <c r="O19" s="77">
        <v>7.6</v>
      </c>
      <c r="P19" s="78">
        <v>0</v>
      </c>
      <c r="Q19" s="78"/>
      <c r="R19" s="79" t="s">
        <v>2047</v>
      </c>
      <c r="S19" s="89" t="s">
        <v>49</v>
      </c>
      <c r="T19" s="90" t="s">
        <v>1949</v>
      </c>
      <c r="U19" s="90" t="s">
        <v>111</v>
      </c>
      <c r="V19" s="78"/>
      <c r="W19" s="87" t="s">
        <v>1965</v>
      </c>
      <c r="X19" s="87" t="s">
        <v>104</v>
      </c>
    </row>
    <row r="20" spans="1:24">
      <c r="A20" s="91" t="s">
        <v>112</v>
      </c>
      <c r="B20" s="315"/>
      <c r="C20" s="317"/>
      <c r="D20" s="318"/>
      <c r="E20" s="320"/>
      <c r="F20" s="318"/>
      <c r="G20" s="407"/>
      <c r="H20" s="75"/>
      <c r="I20" s="412">
        <v>3</v>
      </c>
      <c r="J20" s="419"/>
      <c r="K20" s="75"/>
      <c r="L20" s="75"/>
      <c r="M20" s="75"/>
      <c r="N20" s="75"/>
      <c r="O20" s="77">
        <v>4.0999999999999996</v>
      </c>
      <c r="P20" s="78">
        <v>2</v>
      </c>
      <c r="Q20" s="78"/>
      <c r="R20" s="79" t="s">
        <v>2047</v>
      </c>
      <c r="S20" s="80" t="s">
        <v>64</v>
      </c>
      <c r="T20" s="81" t="s">
        <v>44</v>
      </c>
      <c r="U20" s="84" t="s">
        <v>114</v>
      </c>
      <c r="V20" s="84" t="s">
        <v>115</v>
      </c>
      <c r="W20" s="87" t="s">
        <v>1965</v>
      </c>
      <c r="X20" s="87" t="s">
        <v>104</v>
      </c>
    </row>
    <row r="21" spans="1:24">
      <c r="A21" s="91" t="s">
        <v>112</v>
      </c>
      <c r="B21" s="315"/>
      <c r="C21" s="317"/>
      <c r="D21" s="318"/>
      <c r="E21" s="320">
        <v>12</v>
      </c>
      <c r="F21" s="318"/>
      <c r="G21" s="407"/>
      <c r="H21" s="75"/>
      <c r="I21" s="412"/>
      <c r="J21" s="419"/>
      <c r="K21" s="75"/>
      <c r="L21" s="75"/>
      <c r="M21" s="75"/>
      <c r="N21" s="75"/>
      <c r="O21" s="77">
        <v>4.0999999999999996</v>
      </c>
      <c r="P21" s="78">
        <v>2</v>
      </c>
      <c r="Q21" s="78"/>
      <c r="R21" s="79" t="s">
        <v>2047</v>
      </c>
      <c r="S21" s="80" t="s">
        <v>64</v>
      </c>
      <c r="T21" s="81" t="s">
        <v>44</v>
      </c>
      <c r="U21" s="84" t="s">
        <v>114</v>
      </c>
      <c r="V21" s="84" t="s">
        <v>115</v>
      </c>
      <c r="W21" s="87" t="s">
        <v>1965</v>
      </c>
      <c r="X21" s="87" t="s">
        <v>104</v>
      </c>
    </row>
    <row r="22" spans="1:24">
      <c r="A22" s="91" t="s">
        <v>112</v>
      </c>
      <c r="B22" s="315"/>
      <c r="C22" s="317">
        <v>20</v>
      </c>
      <c r="D22" s="318"/>
      <c r="E22" s="320"/>
      <c r="F22" s="318"/>
      <c r="G22" s="407"/>
      <c r="H22" s="75"/>
      <c r="I22" s="412"/>
      <c r="J22" s="419"/>
      <c r="K22" s="75"/>
      <c r="L22" s="75"/>
      <c r="M22" s="75"/>
      <c r="N22" s="75"/>
      <c r="O22" s="77">
        <v>4.0999999999999996</v>
      </c>
      <c r="P22" s="78">
        <v>2</v>
      </c>
      <c r="Q22" s="78"/>
      <c r="R22" s="79" t="s">
        <v>2047</v>
      </c>
      <c r="S22" s="80" t="s">
        <v>64</v>
      </c>
      <c r="T22" s="81" t="s">
        <v>44</v>
      </c>
      <c r="U22" s="84" t="s">
        <v>114</v>
      </c>
      <c r="V22" s="84" t="s">
        <v>115</v>
      </c>
      <c r="W22" s="87" t="s">
        <v>1965</v>
      </c>
      <c r="X22" s="87" t="s">
        <v>104</v>
      </c>
    </row>
    <row r="23" spans="1:24">
      <c r="A23" s="91" t="s">
        <v>112</v>
      </c>
      <c r="B23" s="315"/>
      <c r="C23" s="317"/>
      <c r="D23" s="318"/>
      <c r="E23" s="320"/>
      <c r="F23" s="318"/>
      <c r="G23" s="407"/>
      <c r="H23" s="75"/>
      <c r="I23" s="412"/>
      <c r="J23" s="419"/>
      <c r="K23" s="75"/>
      <c r="L23" s="75"/>
      <c r="M23" s="75"/>
      <c r="N23" s="75"/>
      <c r="O23" s="77">
        <v>4.0999999999999996</v>
      </c>
      <c r="P23" s="78">
        <v>2</v>
      </c>
      <c r="Q23" s="78"/>
      <c r="R23" s="79" t="s">
        <v>2047</v>
      </c>
      <c r="S23" s="80" t="s">
        <v>64</v>
      </c>
      <c r="T23" s="81" t="s">
        <v>44</v>
      </c>
      <c r="U23" s="84" t="s">
        <v>114</v>
      </c>
      <c r="V23" s="84" t="s">
        <v>115</v>
      </c>
      <c r="W23" s="87" t="s">
        <v>1965</v>
      </c>
      <c r="X23" s="87" t="s">
        <v>104</v>
      </c>
    </row>
    <row r="24" spans="1:24">
      <c r="A24" s="91" t="s">
        <v>112</v>
      </c>
      <c r="B24" s="315"/>
      <c r="C24" s="317"/>
      <c r="D24" s="318"/>
      <c r="E24" s="320"/>
      <c r="F24" s="318"/>
      <c r="G24" s="407"/>
      <c r="H24" s="75"/>
      <c r="I24" s="412"/>
      <c r="J24" s="419"/>
      <c r="K24" s="75"/>
      <c r="L24" s="75"/>
      <c r="M24" s="75"/>
      <c r="N24" s="75"/>
      <c r="O24" s="77">
        <v>4.0999999999999996</v>
      </c>
      <c r="P24" s="78">
        <v>2</v>
      </c>
      <c r="Q24" s="78"/>
      <c r="R24" s="79" t="s">
        <v>2047</v>
      </c>
      <c r="S24" s="80" t="s">
        <v>64</v>
      </c>
      <c r="T24" s="81" t="s">
        <v>44</v>
      </c>
      <c r="U24" s="84" t="s">
        <v>114</v>
      </c>
      <c r="V24" s="84" t="s">
        <v>115</v>
      </c>
      <c r="W24" s="87" t="s">
        <v>1965</v>
      </c>
      <c r="X24" s="87" t="s">
        <v>104</v>
      </c>
    </row>
    <row r="25" spans="1:24">
      <c r="A25" s="92" t="s">
        <v>116</v>
      </c>
      <c r="B25" s="315"/>
      <c r="C25" s="317"/>
      <c r="D25" s="318"/>
      <c r="E25" s="320"/>
      <c r="F25" s="318"/>
      <c r="G25" s="407"/>
      <c r="H25" s="75"/>
      <c r="I25" s="412">
        <v>4</v>
      </c>
      <c r="J25" s="419"/>
      <c r="K25" s="75"/>
      <c r="L25" s="75"/>
      <c r="M25" s="75"/>
      <c r="N25" s="75"/>
      <c r="O25" s="77">
        <v>6.1</v>
      </c>
      <c r="P25" s="78">
        <v>4</v>
      </c>
      <c r="Q25" s="78"/>
      <c r="R25" s="79" t="s">
        <v>2047</v>
      </c>
      <c r="S25" s="80" t="s">
        <v>2051</v>
      </c>
      <c r="T25" s="81" t="s">
        <v>44</v>
      </c>
      <c r="U25" s="78" t="s">
        <v>117</v>
      </c>
      <c r="V25" s="78" t="s">
        <v>118</v>
      </c>
      <c r="W25" s="87" t="s">
        <v>1965</v>
      </c>
      <c r="X25" s="87" t="s">
        <v>104</v>
      </c>
    </row>
    <row r="26" spans="1:24">
      <c r="A26" s="92" t="s">
        <v>116</v>
      </c>
      <c r="B26" s="315"/>
      <c r="C26" s="317"/>
      <c r="D26" s="318"/>
      <c r="E26" s="320">
        <v>13</v>
      </c>
      <c r="F26" s="318"/>
      <c r="G26" s="407"/>
      <c r="H26" s="75"/>
      <c r="I26" s="412"/>
      <c r="J26" s="419"/>
      <c r="K26" s="75"/>
      <c r="L26" s="75"/>
      <c r="M26" s="75"/>
      <c r="N26" s="75"/>
      <c r="O26" s="77">
        <v>6.1</v>
      </c>
      <c r="P26" s="78">
        <v>4</v>
      </c>
      <c r="Q26" s="78"/>
      <c r="R26" s="79" t="s">
        <v>2047</v>
      </c>
      <c r="S26" s="80" t="s">
        <v>2051</v>
      </c>
      <c r="T26" s="81" t="s">
        <v>44</v>
      </c>
      <c r="U26" s="78" t="s">
        <v>117</v>
      </c>
      <c r="V26" s="78" t="s">
        <v>118</v>
      </c>
      <c r="W26" s="87" t="s">
        <v>1965</v>
      </c>
      <c r="X26" s="87" t="s">
        <v>104</v>
      </c>
    </row>
    <row r="27" spans="1:24">
      <c r="A27" s="92" t="s">
        <v>116</v>
      </c>
      <c r="B27" s="315"/>
      <c r="C27" s="317">
        <v>21</v>
      </c>
      <c r="D27" s="318"/>
      <c r="E27" s="320"/>
      <c r="F27" s="318"/>
      <c r="G27" s="407"/>
      <c r="H27" s="75"/>
      <c r="I27" s="412"/>
      <c r="J27" s="419"/>
      <c r="K27" s="75"/>
      <c r="L27" s="75"/>
      <c r="M27" s="75"/>
      <c r="N27" s="75"/>
      <c r="O27" s="77">
        <v>6.1</v>
      </c>
      <c r="P27" s="78">
        <v>4</v>
      </c>
      <c r="Q27" s="78"/>
      <c r="R27" s="79" t="s">
        <v>2047</v>
      </c>
      <c r="S27" s="80" t="s">
        <v>2051</v>
      </c>
      <c r="T27" s="81" t="s">
        <v>44</v>
      </c>
      <c r="U27" s="78" t="s">
        <v>117</v>
      </c>
      <c r="V27" s="78" t="s">
        <v>118</v>
      </c>
      <c r="W27" s="87" t="s">
        <v>1965</v>
      </c>
      <c r="X27" s="87" t="s">
        <v>104</v>
      </c>
    </row>
    <row r="28" spans="1:24">
      <c r="A28" s="92" t="s">
        <v>116</v>
      </c>
      <c r="B28" s="315"/>
      <c r="C28" s="317"/>
      <c r="D28" s="318"/>
      <c r="E28" s="320"/>
      <c r="F28" s="318"/>
      <c r="G28" s="407"/>
      <c r="H28" s="75"/>
      <c r="I28" s="412"/>
      <c r="J28" s="419"/>
      <c r="K28" s="75"/>
      <c r="L28" s="75"/>
      <c r="M28" s="75"/>
      <c r="N28" s="75"/>
      <c r="O28" s="77">
        <v>6.1</v>
      </c>
      <c r="P28" s="78">
        <v>4</v>
      </c>
      <c r="Q28" s="78"/>
      <c r="R28" s="79" t="s">
        <v>2047</v>
      </c>
      <c r="S28" s="80" t="s">
        <v>2051</v>
      </c>
      <c r="T28" s="81" t="s">
        <v>44</v>
      </c>
      <c r="U28" s="78" t="s">
        <v>117</v>
      </c>
      <c r="V28" s="78" t="s">
        <v>118</v>
      </c>
      <c r="W28" s="87" t="s">
        <v>1965</v>
      </c>
      <c r="X28" s="87" t="s">
        <v>104</v>
      </c>
    </row>
    <row r="29" spans="1:24">
      <c r="A29" s="92" t="s">
        <v>116</v>
      </c>
      <c r="B29" s="315"/>
      <c r="C29" s="317"/>
      <c r="D29" s="318"/>
      <c r="E29" s="320"/>
      <c r="F29" s="318"/>
      <c r="G29" s="407"/>
      <c r="H29" s="75"/>
      <c r="I29" s="412"/>
      <c r="J29" s="419"/>
      <c r="K29" s="75"/>
      <c r="L29" s="75"/>
      <c r="M29" s="75"/>
      <c r="N29" s="75"/>
      <c r="O29" s="77">
        <v>6.1</v>
      </c>
      <c r="P29" s="78">
        <v>4</v>
      </c>
      <c r="Q29" s="78"/>
      <c r="R29" s="79" t="s">
        <v>2047</v>
      </c>
      <c r="S29" s="80" t="s">
        <v>2051</v>
      </c>
      <c r="T29" s="81" t="s">
        <v>44</v>
      </c>
      <c r="U29" s="78" t="s">
        <v>117</v>
      </c>
      <c r="V29" s="78" t="s">
        <v>118</v>
      </c>
      <c r="W29" s="87" t="s">
        <v>1965</v>
      </c>
      <c r="X29" s="87" t="s">
        <v>104</v>
      </c>
    </row>
    <row r="30" spans="1:24" ht="38.25">
      <c r="A30" s="93" t="s">
        <v>119</v>
      </c>
      <c r="B30" s="315"/>
      <c r="C30" s="317">
        <v>3</v>
      </c>
      <c r="D30" s="318"/>
      <c r="E30" s="320"/>
      <c r="F30" s="318"/>
      <c r="G30" s="407"/>
      <c r="H30" s="75"/>
      <c r="I30" s="412"/>
      <c r="J30" s="419"/>
      <c r="K30" s="75"/>
      <c r="L30" s="75"/>
      <c r="M30" s="75"/>
      <c r="N30" s="75"/>
      <c r="O30" s="94">
        <v>4.8</v>
      </c>
      <c r="P30" s="63">
        <v>11</v>
      </c>
      <c r="R30" s="79" t="s">
        <v>2047</v>
      </c>
      <c r="S30" s="80" t="s">
        <v>120</v>
      </c>
      <c r="T30" s="81" t="s">
        <v>43</v>
      </c>
      <c r="U30" s="84" t="s">
        <v>121</v>
      </c>
      <c r="V30" s="78" t="s">
        <v>122</v>
      </c>
      <c r="W30" s="87" t="s">
        <v>1965</v>
      </c>
      <c r="X30" s="87" t="s">
        <v>104</v>
      </c>
    </row>
    <row r="31" spans="1:24" ht="38.25">
      <c r="A31" s="93" t="s">
        <v>119</v>
      </c>
      <c r="B31" s="315"/>
      <c r="C31" s="317"/>
      <c r="D31" s="318"/>
      <c r="E31" s="320"/>
      <c r="F31" s="318"/>
      <c r="G31" s="407"/>
      <c r="H31" s="75">
        <v>12</v>
      </c>
      <c r="I31" s="412"/>
      <c r="J31" s="419"/>
      <c r="K31" s="75"/>
      <c r="L31" s="75"/>
      <c r="M31" s="75"/>
      <c r="N31" s="75"/>
      <c r="O31" s="94">
        <v>4.8</v>
      </c>
      <c r="P31" s="63">
        <v>11</v>
      </c>
      <c r="R31" s="79" t="s">
        <v>2047</v>
      </c>
      <c r="S31" s="80" t="s">
        <v>120</v>
      </c>
      <c r="T31" s="81" t="s">
        <v>43</v>
      </c>
      <c r="U31" s="84" t="s">
        <v>121</v>
      </c>
      <c r="V31" s="78" t="s">
        <v>122</v>
      </c>
      <c r="W31" s="87" t="s">
        <v>1965</v>
      </c>
      <c r="X31" s="87" t="s">
        <v>104</v>
      </c>
    </row>
    <row r="32" spans="1:24" ht="38.25">
      <c r="A32" s="93" t="s">
        <v>119</v>
      </c>
      <c r="B32" s="315"/>
      <c r="C32" s="317"/>
      <c r="D32" s="318"/>
      <c r="E32" s="320"/>
      <c r="F32" s="318"/>
      <c r="G32" s="407"/>
      <c r="H32" s="75"/>
      <c r="I32" s="412">
        <v>20</v>
      </c>
      <c r="J32" s="419"/>
      <c r="K32" s="75"/>
      <c r="L32" s="75"/>
      <c r="M32" s="75"/>
      <c r="N32" s="75"/>
      <c r="O32" s="94">
        <v>4.8</v>
      </c>
      <c r="P32" s="63">
        <v>11</v>
      </c>
      <c r="R32" s="79" t="s">
        <v>2047</v>
      </c>
      <c r="S32" s="80" t="s">
        <v>120</v>
      </c>
      <c r="T32" s="81" t="s">
        <v>43</v>
      </c>
      <c r="U32" s="84" t="s">
        <v>121</v>
      </c>
      <c r="V32" s="78" t="s">
        <v>122</v>
      </c>
      <c r="W32" s="87" t="s">
        <v>1965</v>
      </c>
      <c r="X32" s="87" t="s">
        <v>104</v>
      </c>
    </row>
    <row r="33" spans="1:24" ht="38.25">
      <c r="A33" s="93" t="s">
        <v>119</v>
      </c>
      <c r="B33" s="315"/>
      <c r="C33" s="317">
        <v>27</v>
      </c>
      <c r="D33" s="318"/>
      <c r="E33" s="320"/>
      <c r="F33" s="318"/>
      <c r="G33" s="407"/>
      <c r="H33" s="75"/>
      <c r="I33" s="412"/>
      <c r="J33" s="419"/>
      <c r="K33" s="75"/>
      <c r="L33" s="75"/>
      <c r="M33" s="75"/>
      <c r="N33" s="75"/>
      <c r="O33" s="94">
        <v>4.8</v>
      </c>
      <c r="P33" s="63">
        <v>11</v>
      </c>
      <c r="R33" s="79" t="s">
        <v>2047</v>
      </c>
      <c r="S33" s="80" t="s">
        <v>120</v>
      </c>
      <c r="T33" s="81" t="s">
        <v>43</v>
      </c>
      <c r="U33" s="84" t="s">
        <v>121</v>
      </c>
      <c r="V33" s="78" t="s">
        <v>122</v>
      </c>
      <c r="W33" s="87" t="s">
        <v>1965</v>
      </c>
      <c r="X33" s="87" t="s">
        <v>104</v>
      </c>
    </row>
    <row r="34" spans="1:24" ht="25.5">
      <c r="A34" s="86" t="s">
        <v>123</v>
      </c>
      <c r="B34" s="315"/>
      <c r="C34" s="317"/>
      <c r="D34" s="318"/>
      <c r="E34" s="320"/>
      <c r="F34" s="318"/>
      <c r="G34" s="407"/>
      <c r="H34" s="75">
        <v>7</v>
      </c>
      <c r="I34" s="412"/>
      <c r="J34" s="419"/>
      <c r="K34" s="75"/>
      <c r="L34" s="75"/>
      <c r="M34" s="75"/>
      <c r="N34" s="75"/>
      <c r="O34" s="77">
        <v>4.3</v>
      </c>
      <c r="P34" s="63">
        <v>11</v>
      </c>
      <c r="R34" s="79" t="s">
        <v>2047</v>
      </c>
      <c r="S34" s="80" t="s">
        <v>120</v>
      </c>
      <c r="T34" s="81" t="s">
        <v>44</v>
      </c>
      <c r="U34" s="84" t="s">
        <v>124</v>
      </c>
      <c r="V34" s="78" t="s">
        <v>125</v>
      </c>
      <c r="W34" s="87" t="s">
        <v>1965</v>
      </c>
      <c r="X34" s="87" t="s">
        <v>104</v>
      </c>
    </row>
    <row r="35" spans="1:24" ht="25.5">
      <c r="A35" s="86" t="s">
        <v>123</v>
      </c>
      <c r="B35" s="315">
        <v>18</v>
      </c>
      <c r="C35" s="317"/>
      <c r="D35" s="318"/>
      <c r="E35" s="320"/>
      <c r="F35" s="318"/>
      <c r="G35" s="407"/>
      <c r="H35" s="75"/>
      <c r="I35" s="412"/>
      <c r="J35" s="419"/>
      <c r="K35" s="75"/>
      <c r="L35" s="75"/>
      <c r="M35" s="75"/>
      <c r="N35" s="75"/>
      <c r="O35" s="77">
        <v>4.3</v>
      </c>
      <c r="P35" s="63">
        <v>11</v>
      </c>
      <c r="R35" s="79" t="s">
        <v>2047</v>
      </c>
      <c r="S35" s="80" t="s">
        <v>120</v>
      </c>
      <c r="T35" s="81" t="s">
        <v>44</v>
      </c>
      <c r="U35" s="84" t="s">
        <v>124</v>
      </c>
      <c r="V35" s="78" t="s">
        <v>125</v>
      </c>
      <c r="W35" s="87" t="s">
        <v>1965</v>
      </c>
      <c r="X35" s="87" t="s">
        <v>104</v>
      </c>
    </row>
    <row r="36" spans="1:24" ht="25.5">
      <c r="A36" s="86" t="s">
        <v>123</v>
      </c>
      <c r="B36" s="315"/>
      <c r="C36" s="317">
        <v>28</v>
      </c>
      <c r="D36" s="318"/>
      <c r="E36" s="320"/>
      <c r="F36" s="318"/>
      <c r="G36" s="407"/>
      <c r="H36" s="75"/>
      <c r="I36" s="412"/>
      <c r="J36" s="419"/>
      <c r="K36" s="75"/>
      <c r="L36" s="75"/>
      <c r="M36" s="75"/>
      <c r="N36" s="75"/>
      <c r="O36" s="77">
        <v>4.3</v>
      </c>
      <c r="P36" s="63">
        <v>11</v>
      </c>
      <c r="R36" s="79" t="s">
        <v>2047</v>
      </c>
      <c r="S36" s="80" t="s">
        <v>120</v>
      </c>
      <c r="T36" s="81" t="s">
        <v>44</v>
      </c>
      <c r="U36" s="84" t="s">
        <v>124</v>
      </c>
      <c r="V36" s="78" t="s">
        <v>125</v>
      </c>
      <c r="W36" s="87" t="s">
        <v>1965</v>
      </c>
      <c r="X36" s="87" t="s">
        <v>104</v>
      </c>
    </row>
    <row r="37" spans="1:24" ht="25.5">
      <c r="A37" s="86" t="s">
        <v>123</v>
      </c>
      <c r="B37" s="315"/>
      <c r="C37" s="317"/>
      <c r="D37" s="318"/>
      <c r="E37" s="320"/>
      <c r="F37" s="318"/>
      <c r="G37" s="407"/>
      <c r="H37" s="75"/>
      <c r="I37" s="412"/>
      <c r="J37" s="419"/>
      <c r="K37" s="75"/>
      <c r="L37" s="75"/>
      <c r="M37" s="75"/>
      <c r="N37" s="75"/>
      <c r="O37" s="77">
        <v>4.3</v>
      </c>
      <c r="P37" s="63">
        <v>11</v>
      </c>
      <c r="R37" s="79" t="s">
        <v>2047</v>
      </c>
      <c r="S37" s="80" t="s">
        <v>120</v>
      </c>
      <c r="T37" s="81" t="s">
        <v>44</v>
      </c>
      <c r="U37" s="84" t="s">
        <v>124</v>
      </c>
      <c r="V37" s="78" t="s">
        <v>125</v>
      </c>
      <c r="W37" s="87" t="s">
        <v>1965</v>
      </c>
      <c r="X37" s="87" t="s">
        <v>104</v>
      </c>
    </row>
    <row r="38" spans="1:24" ht="51">
      <c r="A38" s="93" t="s">
        <v>126</v>
      </c>
      <c r="B38" s="315"/>
      <c r="C38" s="317"/>
      <c r="D38" s="318"/>
      <c r="E38" s="320"/>
      <c r="F38" s="318"/>
      <c r="G38" s="407"/>
      <c r="H38" s="75"/>
      <c r="I38" s="412">
        <v>13</v>
      </c>
      <c r="J38" s="419"/>
      <c r="K38" s="75"/>
      <c r="L38" s="75"/>
      <c r="M38" s="75"/>
      <c r="N38" s="75"/>
      <c r="O38" s="94">
        <v>5</v>
      </c>
      <c r="P38" s="63">
        <v>19</v>
      </c>
      <c r="R38" s="79" t="s">
        <v>2048</v>
      </c>
      <c r="S38" s="80" t="s">
        <v>120</v>
      </c>
      <c r="T38" s="81" t="s">
        <v>58</v>
      </c>
      <c r="U38" s="84" t="s">
        <v>127</v>
      </c>
      <c r="V38" s="84" t="s">
        <v>128</v>
      </c>
      <c r="W38" s="87" t="s">
        <v>1966</v>
      </c>
      <c r="X38" s="87" t="s">
        <v>104</v>
      </c>
    </row>
    <row r="39" spans="1:24" ht="51">
      <c r="A39" s="93" t="s">
        <v>126</v>
      </c>
      <c r="B39" s="315">
        <v>27</v>
      </c>
      <c r="C39" s="317"/>
      <c r="D39" s="318"/>
      <c r="E39" s="320"/>
      <c r="F39" s="318"/>
      <c r="G39" s="407"/>
      <c r="H39" s="75"/>
      <c r="I39" s="412"/>
      <c r="J39" s="419"/>
      <c r="K39" s="75"/>
      <c r="L39" s="75"/>
      <c r="M39" s="75"/>
      <c r="N39" s="75"/>
      <c r="O39" s="94">
        <v>5</v>
      </c>
      <c r="P39" s="63">
        <v>19</v>
      </c>
      <c r="R39" s="79" t="s">
        <v>2048</v>
      </c>
      <c r="S39" s="80" t="s">
        <v>120</v>
      </c>
      <c r="T39" s="81" t="s">
        <v>58</v>
      </c>
      <c r="U39" s="84" t="s">
        <v>127</v>
      </c>
      <c r="V39" s="84" t="s">
        <v>128</v>
      </c>
      <c r="W39" s="87" t="s">
        <v>1966</v>
      </c>
      <c r="X39" s="87" t="s">
        <v>104</v>
      </c>
    </row>
    <row r="40" spans="1:24" ht="51">
      <c r="A40" s="93" t="s">
        <v>126</v>
      </c>
      <c r="B40" s="315"/>
      <c r="C40" s="317"/>
      <c r="D40" s="318"/>
      <c r="E40" s="320"/>
      <c r="F40" s="318"/>
      <c r="G40" s="407"/>
      <c r="H40" s="75"/>
      <c r="I40" s="412"/>
      <c r="J40" s="419"/>
      <c r="K40" s="75"/>
      <c r="L40" s="75"/>
      <c r="M40" s="75"/>
      <c r="N40" s="75"/>
      <c r="O40" s="94">
        <v>5</v>
      </c>
      <c r="P40" s="63">
        <v>19</v>
      </c>
      <c r="R40" s="79" t="s">
        <v>2048</v>
      </c>
      <c r="S40" s="80" t="s">
        <v>120</v>
      </c>
      <c r="T40" s="81" t="s">
        <v>58</v>
      </c>
      <c r="U40" s="84" t="s">
        <v>127</v>
      </c>
      <c r="V40" s="84" t="s">
        <v>128</v>
      </c>
      <c r="W40" s="87" t="s">
        <v>1966</v>
      </c>
      <c r="X40" s="87" t="s">
        <v>104</v>
      </c>
    </row>
    <row r="41" spans="1:24" ht="51">
      <c r="A41" s="93" t="s">
        <v>126</v>
      </c>
      <c r="B41" s="315"/>
      <c r="C41" s="317"/>
      <c r="D41" s="318"/>
      <c r="E41" s="320"/>
      <c r="F41" s="318"/>
      <c r="G41" s="407"/>
      <c r="H41" s="75"/>
      <c r="I41" s="412"/>
      <c r="J41" s="419"/>
      <c r="K41" s="75"/>
      <c r="L41" s="75"/>
      <c r="M41" s="75"/>
      <c r="N41" s="75"/>
      <c r="O41" s="94">
        <v>5</v>
      </c>
      <c r="P41" s="63">
        <v>19</v>
      </c>
      <c r="R41" s="79" t="s">
        <v>2048</v>
      </c>
      <c r="S41" s="80" t="s">
        <v>120</v>
      </c>
      <c r="T41" s="81" t="s">
        <v>58</v>
      </c>
      <c r="U41" s="84" t="s">
        <v>127</v>
      </c>
      <c r="V41" s="84" t="s">
        <v>128</v>
      </c>
      <c r="W41" s="87" t="s">
        <v>1966</v>
      </c>
      <c r="X41" s="87" t="s">
        <v>104</v>
      </c>
    </row>
    <row r="42" spans="1:24" ht="25.5">
      <c r="A42" s="91" t="s">
        <v>129</v>
      </c>
      <c r="B42" s="315">
        <v>5</v>
      </c>
      <c r="C42" s="317"/>
      <c r="D42" s="318"/>
      <c r="E42" s="320"/>
      <c r="F42" s="318"/>
      <c r="G42" s="407"/>
      <c r="H42" s="75"/>
      <c r="I42" s="412"/>
      <c r="J42" s="419"/>
      <c r="K42" s="75"/>
      <c r="L42" s="75"/>
      <c r="M42" s="75"/>
      <c r="N42" s="75"/>
      <c r="O42" s="94">
        <v>6.2</v>
      </c>
      <c r="P42" s="63">
        <v>1</v>
      </c>
      <c r="R42" s="79" t="s">
        <v>2047</v>
      </c>
      <c r="S42" s="80" t="s">
        <v>67</v>
      </c>
      <c r="T42" s="81" t="s">
        <v>44</v>
      </c>
      <c r="U42" s="84" t="s">
        <v>130</v>
      </c>
      <c r="V42" s="84" t="s">
        <v>131</v>
      </c>
      <c r="W42" s="87" t="s">
        <v>1965</v>
      </c>
      <c r="X42" s="87" t="s">
        <v>104</v>
      </c>
    </row>
    <row r="43" spans="1:24" ht="25.5">
      <c r="A43" s="91" t="s">
        <v>129</v>
      </c>
      <c r="B43" s="315"/>
      <c r="C43" s="317">
        <v>25</v>
      </c>
      <c r="D43" s="318"/>
      <c r="E43" s="320"/>
      <c r="F43" s="318"/>
      <c r="G43" s="407"/>
      <c r="H43" s="75"/>
      <c r="I43" s="412"/>
      <c r="J43" s="419"/>
      <c r="K43" s="75"/>
      <c r="L43" s="75"/>
      <c r="M43" s="75"/>
      <c r="N43" s="75"/>
      <c r="O43" s="94">
        <v>6.2</v>
      </c>
      <c r="P43" s="63">
        <v>1</v>
      </c>
      <c r="R43" s="79" t="s">
        <v>2047</v>
      </c>
      <c r="S43" s="80" t="s">
        <v>67</v>
      </c>
      <c r="T43" s="81" t="s">
        <v>44</v>
      </c>
      <c r="U43" s="84" t="s">
        <v>130</v>
      </c>
      <c r="V43" s="84" t="s">
        <v>131</v>
      </c>
      <c r="W43" s="87" t="s">
        <v>1965</v>
      </c>
      <c r="X43" s="87" t="s">
        <v>104</v>
      </c>
    </row>
    <row r="44" spans="1:24" ht="25.5">
      <c r="A44" s="91" t="s">
        <v>129</v>
      </c>
      <c r="B44" s="315"/>
      <c r="C44" s="317"/>
      <c r="D44" s="318"/>
      <c r="E44" s="320"/>
      <c r="F44" s="318"/>
      <c r="G44" s="407"/>
      <c r="H44" s="75"/>
      <c r="I44" s="412"/>
      <c r="J44" s="419"/>
      <c r="K44" s="75"/>
      <c r="L44" s="75"/>
      <c r="M44" s="75"/>
      <c r="N44" s="75"/>
      <c r="O44" s="94">
        <v>6.2</v>
      </c>
      <c r="P44" s="63">
        <v>1</v>
      </c>
      <c r="R44" s="79" t="s">
        <v>2047</v>
      </c>
      <c r="S44" s="80" t="s">
        <v>67</v>
      </c>
      <c r="T44" s="81" t="s">
        <v>44</v>
      </c>
      <c r="U44" s="84" t="s">
        <v>130</v>
      </c>
      <c r="V44" s="84" t="s">
        <v>131</v>
      </c>
      <c r="W44" s="87" t="s">
        <v>1965</v>
      </c>
      <c r="X44" s="87" t="s">
        <v>104</v>
      </c>
    </row>
    <row r="45" spans="1:24" ht="25.5">
      <c r="A45" s="91" t="s">
        <v>129</v>
      </c>
      <c r="B45" s="315"/>
      <c r="C45" s="317"/>
      <c r="D45" s="318"/>
      <c r="E45" s="320"/>
      <c r="F45" s="318"/>
      <c r="G45" s="407"/>
      <c r="H45" s="75"/>
      <c r="I45" s="412"/>
      <c r="J45" s="419"/>
      <c r="K45" s="75"/>
      <c r="L45" s="75"/>
      <c r="M45" s="75"/>
      <c r="N45" s="75"/>
      <c r="O45" s="94">
        <v>6.2</v>
      </c>
      <c r="P45" s="63">
        <v>1</v>
      </c>
      <c r="R45" s="79" t="s">
        <v>2047</v>
      </c>
      <c r="S45" s="80" t="s">
        <v>67</v>
      </c>
      <c r="T45" s="81" t="s">
        <v>44</v>
      </c>
      <c r="U45" s="84" t="s">
        <v>130</v>
      </c>
      <c r="V45" s="84" t="s">
        <v>131</v>
      </c>
      <c r="W45" s="87" t="s">
        <v>1965</v>
      </c>
      <c r="X45" s="87" t="s">
        <v>104</v>
      </c>
    </row>
    <row r="46" spans="1:24">
      <c r="A46" s="95" t="s">
        <v>132</v>
      </c>
      <c r="B46" s="315">
        <v>6</v>
      </c>
      <c r="C46" s="317"/>
      <c r="D46" s="318"/>
      <c r="E46" s="320"/>
      <c r="F46" s="318"/>
      <c r="G46" s="407"/>
      <c r="H46" s="75"/>
      <c r="I46" s="412"/>
      <c r="J46" s="419"/>
      <c r="K46" s="75"/>
      <c r="L46" s="75"/>
      <c r="M46" s="75"/>
      <c r="N46" s="75"/>
      <c r="O46" s="94">
        <v>5.6</v>
      </c>
      <c r="P46" s="63">
        <v>2</v>
      </c>
      <c r="R46" s="79" t="s">
        <v>2047</v>
      </c>
      <c r="S46" s="80" t="s">
        <v>60</v>
      </c>
      <c r="T46" s="81" t="s">
        <v>43</v>
      </c>
      <c r="U46" s="78" t="s">
        <v>133</v>
      </c>
      <c r="V46" s="84" t="s">
        <v>134</v>
      </c>
      <c r="W46" s="87" t="s">
        <v>1965</v>
      </c>
      <c r="X46" s="87" t="s">
        <v>104</v>
      </c>
    </row>
    <row r="47" spans="1:24">
      <c r="A47" s="95" t="s">
        <v>132</v>
      </c>
      <c r="B47" s="315"/>
      <c r="C47" s="317">
        <v>26</v>
      </c>
      <c r="D47" s="318"/>
      <c r="E47" s="320"/>
      <c r="F47" s="318"/>
      <c r="G47" s="407"/>
      <c r="H47" s="75"/>
      <c r="I47" s="412"/>
      <c r="J47" s="419"/>
      <c r="K47" s="75"/>
      <c r="L47" s="75"/>
      <c r="M47" s="75"/>
      <c r="N47" s="75"/>
      <c r="O47" s="94">
        <v>5.6</v>
      </c>
      <c r="P47" s="63">
        <v>2</v>
      </c>
      <c r="R47" s="79" t="s">
        <v>2047</v>
      </c>
      <c r="S47" s="80" t="s">
        <v>60</v>
      </c>
      <c r="T47" s="81" t="s">
        <v>43</v>
      </c>
      <c r="U47" s="78" t="s">
        <v>133</v>
      </c>
      <c r="V47" s="84" t="s">
        <v>134</v>
      </c>
      <c r="W47" s="87" t="s">
        <v>1965</v>
      </c>
      <c r="X47" s="87" t="s">
        <v>104</v>
      </c>
    </row>
    <row r="48" spans="1:24">
      <c r="A48" s="95" t="s">
        <v>132</v>
      </c>
      <c r="B48" s="315"/>
      <c r="C48" s="317"/>
      <c r="D48" s="318"/>
      <c r="E48" s="320"/>
      <c r="F48" s="318"/>
      <c r="G48" s="407"/>
      <c r="H48" s="75"/>
      <c r="I48" s="412"/>
      <c r="J48" s="419"/>
      <c r="K48" s="75"/>
      <c r="L48" s="75"/>
      <c r="M48" s="75"/>
      <c r="N48" s="75"/>
      <c r="O48" s="94">
        <v>5.6</v>
      </c>
      <c r="P48" s="63">
        <v>2</v>
      </c>
      <c r="R48" s="79" t="s">
        <v>2047</v>
      </c>
      <c r="S48" s="80" t="s">
        <v>60</v>
      </c>
      <c r="T48" s="81" t="s">
        <v>43</v>
      </c>
      <c r="U48" s="78" t="s">
        <v>133</v>
      </c>
      <c r="V48" s="84" t="s">
        <v>134</v>
      </c>
      <c r="W48" s="87" t="s">
        <v>1965</v>
      </c>
      <c r="X48" s="87" t="s">
        <v>104</v>
      </c>
    </row>
    <row r="49" spans="1:24">
      <c r="A49" s="95" t="s">
        <v>132</v>
      </c>
      <c r="B49" s="315"/>
      <c r="C49" s="317"/>
      <c r="D49" s="318"/>
      <c r="E49" s="320"/>
      <c r="F49" s="318"/>
      <c r="G49" s="407"/>
      <c r="H49" s="75"/>
      <c r="I49" s="412"/>
      <c r="J49" s="419"/>
      <c r="K49" s="75"/>
      <c r="L49" s="75"/>
      <c r="M49" s="75"/>
      <c r="N49" s="75"/>
      <c r="O49" s="94">
        <v>5.6</v>
      </c>
      <c r="P49" s="63">
        <v>2</v>
      </c>
      <c r="R49" s="79" t="s">
        <v>2047</v>
      </c>
      <c r="S49" s="80" t="s">
        <v>60</v>
      </c>
      <c r="T49" s="81" t="s">
        <v>43</v>
      </c>
      <c r="U49" s="78" t="s">
        <v>133</v>
      </c>
      <c r="V49" s="84" t="s">
        <v>134</v>
      </c>
      <c r="W49" s="87" t="s">
        <v>1965</v>
      </c>
      <c r="X49" s="87" t="s">
        <v>104</v>
      </c>
    </row>
    <row r="50" spans="1:24">
      <c r="A50" s="93" t="s">
        <v>135</v>
      </c>
      <c r="B50" s="315"/>
      <c r="C50" s="317"/>
      <c r="D50" s="318"/>
      <c r="E50" s="320"/>
      <c r="F50" s="318"/>
      <c r="G50" s="407"/>
      <c r="H50" s="75"/>
      <c r="I50" s="412"/>
      <c r="J50" s="419"/>
      <c r="K50" s="75"/>
      <c r="L50" s="75"/>
      <c r="M50" s="75"/>
      <c r="N50" s="75"/>
      <c r="O50" s="94">
        <v>5.5</v>
      </c>
      <c r="P50" s="63">
        <v>3</v>
      </c>
      <c r="R50" s="79" t="s">
        <v>2047</v>
      </c>
      <c r="S50" s="80" t="s">
        <v>67</v>
      </c>
      <c r="T50" s="81" t="s">
        <v>58</v>
      </c>
      <c r="U50" s="63" t="s">
        <v>136</v>
      </c>
      <c r="V50" s="84" t="s">
        <v>137</v>
      </c>
      <c r="W50" s="87" t="s">
        <v>1966</v>
      </c>
      <c r="X50" s="87" t="s">
        <v>104</v>
      </c>
    </row>
    <row r="51" spans="1:24">
      <c r="A51" s="93" t="s">
        <v>135</v>
      </c>
      <c r="B51" s="315"/>
      <c r="C51" s="317"/>
      <c r="D51" s="318"/>
      <c r="E51" s="320"/>
      <c r="F51" s="318"/>
      <c r="G51" s="407"/>
      <c r="H51" s="75"/>
      <c r="I51" s="412"/>
      <c r="J51" s="419"/>
      <c r="K51" s="75"/>
      <c r="L51" s="75"/>
      <c r="M51" s="75"/>
      <c r="N51" s="75"/>
      <c r="O51" s="94">
        <v>5.5</v>
      </c>
      <c r="P51" s="63">
        <v>3</v>
      </c>
      <c r="R51" s="79" t="s">
        <v>2047</v>
      </c>
      <c r="S51" s="80" t="s">
        <v>67</v>
      </c>
      <c r="T51" s="81" t="s">
        <v>58</v>
      </c>
      <c r="U51" s="63" t="s">
        <v>136</v>
      </c>
      <c r="V51" s="84" t="s">
        <v>137</v>
      </c>
      <c r="W51" s="87" t="s">
        <v>1966</v>
      </c>
      <c r="X51" s="87" t="s">
        <v>104</v>
      </c>
    </row>
    <row r="52" spans="1:24">
      <c r="A52" s="93" t="s">
        <v>135</v>
      </c>
      <c r="B52" s="315"/>
      <c r="C52" s="317"/>
      <c r="D52" s="318"/>
      <c r="E52" s="320"/>
      <c r="F52" s="318"/>
      <c r="G52" s="407"/>
      <c r="H52" s="75"/>
      <c r="I52" s="412"/>
      <c r="J52" s="419"/>
      <c r="K52" s="75"/>
      <c r="L52" s="75"/>
      <c r="M52" s="75"/>
      <c r="N52" s="75"/>
      <c r="O52" s="94">
        <v>5.5</v>
      </c>
      <c r="P52" s="63">
        <v>3</v>
      </c>
      <c r="R52" s="79" t="s">
        <v>2047</v>
      </c>
      <c r="S52" s="80" t="s">
        <v>67</v>
      </c>
      <c r="T52" s="81" t="s">
        <v>58</v>
      </c>
      <c r="U52" s="63" t="s">
        <v>136</v>
      </c>
      <c r="V52" s="84" t="s">
        <v>137</v>
      </c>
      <c r="W52" s="87" t="s">
        <v>1966</v>
      </c>
      <c r="X52" s="87" t="s">
        <v>104</v>
      </c>
    </row>
    <row r="53" spans="1:24">
      <c r="A53" s="93" t="s">
        <v>135</v>
      </c>
      <c r="B53" s="315"/>
      <c r="C53" s="317"/>
      <c r="D53" s="318"/>
      <c r="E53" s="320"/>
      <c r="F53" s="318"/>
      <c r="G53" s="407"/>
      <c r="H53" s="75"/>
      <c r="I53" s="412"/>
      <c r="J53" s="419"/>
      <c r="K53" s="75"/>
      <c r="L53" s="75"/>
      <c r="M53" s="75"/>
      <c r="N53" s="75"/>
      <c r="O53" s="94">
        <v>5.5</v>
      </c>
      <c r="P53" s="63">
        <v>3</v>
      </c>
      <c r="R53" s="79" t="s">
        <v>2047</v>
      </c>
      <c r="S53" s="80" t="s">
        <v>67</v>
      </c>
      <c r="T53" s="81" t="s">
        <v>58</v>
      </c>
      <c r="U53" s="63" t="s">
        <v>136</v>
      </c>
      <c r="V53" s="84" t="s">
        <v>137</v>
      </c>
      <c r="W53" s="87" t="s">
        <v>1966</v>
      </c>
      <c r="X53" s="87" t="s">
        <v>104</v>
      </c>
    </row>
    <row r="54" spans="1:24">
      <c r="A54" s="86" t="s">
        <v>138</v>
      </c>
      <c r="B54" s="315"/>
      <c r="C54" s="317"/>
      <c r="D54" s="318"/>
      <c r="E54" s="320"/>
      <c r="F54" s="318"/>
      <c r="G54" s="407"/>
      <c r="H54" s="75"/>
      <c r="I54" s="412"/>
      <c r="J54" s="419"/>
      <c r="K54" s="75"/>
      <c r="L54" s="75"/>
      <c r="M54" s="75"/>
      <c r="N54" s="75"/>
      <c r="O54" s="94">
        <v>3.5</v>
      </c>
      <c r="P54" s="63">
        <v>5</v>
      </c>
      <c r="R54" s="79" t="s">
        <v>2048</v>
      </c>
      <c r="S54" s="80" t="s">
        <v>67</v>
      </c>
      <c r="T54" s="81" t="s">
        <v>58</v>
      </c>
      <c r="U54" s="78" t="s">
        <v>139</v>
      </c>
      <c r="V54" s="63" t="s">
        <v>140</v>
      </c>
      <c r="W54" s="87" t="s">
        <v>1966</v>
      </c>
      <c r="X54" s="87" t="s">
        <v>104</v>
      </c>
    </row>
    <row r="55" spans="1:24">
      <c r="A55" s="86" t="s">
        <v>138</v>
      </c>
      <c r="B55" s="315"/>
      <c r="C55" s="317"/>
      <c r="D55" s="318"/>
      <c r="E55" s="320"/>
      <c r="F55" s="318"/>
      <c r="G55" s="407"/>
      <c r="H55" s="75"/>
      <c r="I55" s="412"/>
      <c r="J55" s="419"/>
      <c r="K55" s="75"/>
      <c r="L55" s="75"/>
      <c r="M55" s="75"/>
      <c r="N55" s="75"/>
      <c r="O55" s="94">
        <v>3.5</v>
      </c>
      <c r="P55" s="63">
        <v>5</v>
      </c>
      <c r="R55" s="79" t="s">
        <v>2048</v>
      </c>
      <c r="S55" s="80" t="s">
        <v>67</v>
      </c>
      <c r="T55" s="81" t="s">
        <v>58</v>
      </c>
      <c r="U55" s="78" t="s">
        <v>139</v>
      </c>
      <c r="V55" s="63" t="s">
        <v>140</v>
      </c>
      <c r="W55" s="87" t="s">
        <v>1966</v>
      </c>
      <c r="X55" s="87" t="s">
        <v>104</v>
      </c>
    </row>
    <row r="56" spans="1:24">
      <c r="A56" s="86" t="s">
        <v>138</v>
      </c>
      <c r="B56" s="315"/>
      <c r="C56" s="317"/>
      <c r="D56" s="318"/>
      <c r="E56" s="320"/>
      <c r="F56" s="318"/>
      <c r="G56" s="407"/>
      <c r="H56" s="75"/>
      <c r="I56" s="412"/>
      <c r="J56" s="419"/>
      <c r="K56" s="75"/>
      <c r="L56" s="75"/>
      <c r="M56" s="75"/>
      <c r="N56" s="75"/>
      <c r="O56" s="94">
        <v>3.5</v>
      </c>
      <c r="P56" s="63">
        <v>5</v>
      </c>
      <c r="R56" s="79" t="s">
        <v>2048</v>
      </c>
      <c r="S56" s="80" t="s">
        <v>67</v>
      </c>
      <c r="T56" s="81" t="s">
        <v>58</v>
      </c>
      <c r="U56" s="78" t="s">
        <v>139</v>
      </c>
      <c r="V56" s="63" t="s">
        <v>140</v>
      </c>
      <c r="W56" s="87" t="s">
        <v>1966</v>
      </c>
      <c r="X56" s="87" t="s">
        <v>104</v>
      </c>
    </row>
    <row r="57" spans="1:24">
      <c r="A57" s="86" t="s">
        <v>138</v>
      </c>
      <c r="B57" s="315"/>
      <c r="C57" s="317"/>
      <c r="D57" s="318"/>
      <c r="E57" s="320"/>
      <c r="F57" s="318"/>
      <c r="G57" s="407"/>
      <c r="H57" s="75"/>
      <c r="I57" s="412"/>
      <c r="J57" s="419"/>
      <c r="K57" s="75"/>
      <c r="L57" s="75"/>
      <c r="M57" s="75"/>
      <c r="N57" s="75"/>
      <c r="O57" s="94">
        <v>3.5</v>
      </c>
      <c r="P57" s="63">
        <v>5</v>
      </c>
      <c r="R57" s="79" t="s">
        <v>2048</v>
      </c>
      <c r="S57" s="80" t="s">
        <v>67</v>
      </c>
      <c r="T57" s="81" t="s">
        <v>58</v>
      </c>
      <c r="U57" s="78" t="s">
        <v>139</v>
      </c>
      <c r="V57" s="63" t="s">
        <v>140</v>
      </c>
      <c r="W57" s="87" t="s">
        <v>1966</v>
      </c>
      <c r="X57" s="87" t="s">
        <v>104</v>
      </c>
    </row>
    <row r="58" spans="1:24">
      <c r="A58" s="88" t="s">
        <v>141</v>
      </c>
      <c r="B58" s="315"/>
      <c r="C58" s="317"/>
      <c r="D58" s="318"/>
      <c r="E58" s="320"/>
      <c r="F58" s="318"/>
      <c r="G58" s="407"/>
      <c r="H58" s="75"/>
      <c r="I58" s="412">
        <v>10</v>
      </c>
      <c r="J58" s="419"/>
      <c r="K58" s="75"/>
      <c r="L58" s="75"/>
      <c r="M58" s="75"/>
      <c r="N58" s="75"/>
      <c r="O58" s="94">
        <v>3.5</v>
      </c>
      <c r="P58" s="63">
        <v>5</v>
      </c>
      <c r="R58" s="79" t="s">
        <v>2048</v>
      </c>
      <c r="S58" s="80" t="s">
        <v>60</v>
      </c>
      <c r="T58" s="81" t="s">
        <v>58</v>
      </c>
      <c r="U58" s="78" t="s">
        <v>142</v>
      </c>
      <c r="V58" s="63" t="s">
        <v>140</v>
      </c>
      <c r="W58" s="87" t="s">
        <v>1966</v>
      </c>
      <c r="X58" s="87" t="s">
        <v>104</v>
      </c>
    </row>
    <row r="59" spans="1:24">
      <c r="A59" s="88" t="s">
        <v>141</v>
      </c>
      <c r="B59" s="315">
        <v>25</v>
      </c>
      <c r="C59" s="317"/>
      <c r="D59" s="318"/>
      <c r="E59" s="320"/>
      <c r="F59" s="318"/>
      <c r="G59" s="407"/>
      <c r="H59" s="75"/>
      <c r="I59" s="412"/>
      <c r="J59" s="419"/>
      <c r="K59" s="75"/>
      <c r="L59" s="75"/>
      <c r="M59" s="75"/>
      <c r="N59" s="75"/>
      <c r="O59" s="94">
        <v>3.5</v>
      </c>
      <c r="P59" s="63">
        <v>5</v>
      </c>
      <c r="R59" s="79" t="s">
        <v>2048</v>
      </c>
      <c r="S59" s="80" t="s">
        <v>60</v>
      </c>
      <c r="T59" s="81" t="s">
        <v>58</v>
      </c>
      <c r="U59" s="78" t="s">
        <v>142</v>
      </c>
      <c r="V59" s="63" t="s">
        <v>140</v>
      </c>
      <c r="W59" s="87" t="s">
        <v>1966</v>
      </c>
      <c r="X59" s="87" t="s">
        <v>104</v>
      </c>
    </row>
    <row r="60" spans="1:24">
      <c r="A60" s="88" t="s">
        <v>141</v>
      </c>
      <c r="B60" s="315"/>
      <c r="C60" s="317"/>
      <c r="D60" s="318"/>
      <c r="E60" s="320"/>
      <c r="F60" s="318"/>
      <c r="G60" s="407"/>
      <c r="H60" s="75"/>
      <c r="I60" s="412"/>
      <c r="J60" s="419"/>
      <c r="K60" s="75"/>
      <c r="L60" s="75"/>
      <c r="M60" s="75"/>
      <c r="N60" s="75"/>
      <c r="O60" s="94">
        <v>3.5</v>
      </c>
      <c r="P60" s="63">
        <v>5</v>
      </c>
      <c r="R60" s="79" t="s">
        <v>2048</v>
      </c>
      <c r="S60" s="80" t="s">
        <v>60</v>
      </c>
      <c r="T60" s="81" t="s">
        <v>58</v>
      </c>
      <c r="U60" s="78" t="s">
        <v>142</v>
      </c>
      <c r="V60" s="63" t="s">
        <v>140</v>
      </c>
      <c r="W60" s="87" t="s">
        <v>1966</v>
      </c>
      <c r="X60" s="87" t="s">
        <v>104</v>
      </c>
    </row>
    <row r="61" spans="1:24">
      <c r="A61" s="88" t="s">
        <v>141</v>
      </c>
      <c r="B61" s="315"/>
      <c r="C61" s="317"/>
      <c r="D61" s="318"/>
      <c r="E61" s="320"/>
      <c r="F61" s="318"/>
      <c r="G61" s="407"/>
      <c r="H61" s="75"/>
      <c r="I61" s="412"/>
      <c r="J61" s="419"/>
      <c r="K61" s="75"/>
      <c r="L61" s="75"/>
      <c r="M61" s="75"/>
      <c r="N61" s="75"/>
      <c r="O61" s="94">
        <v>3.5</v>
      </c>
      <c r="P61" s="63">
        <v>5</v>
      </c>
      <c r="R61" s="79" t="s">
        <v>2048</v>
      </c>
      <c r="S61" s="80" t="s">
        <v>60</v>
      </c>
      <c r="T61" s="81" t="s">
        <v>58</v>
      </c>
      <c r="U61" s="78" t="s">
        <v>142</v>
      </c>
      <c r="V61" s="63" t="s">
        <v>140</v>
      </c>
      <c r="W61" s="87" t="s">
        <v>1966</v>
      </c>
      <c r="X61" s="87" t="s">
        <v>104</v>
      </c>
    </row>
    <row r="62" spans="1:24">
      <c r="A62" s="91" t="s">
        <v>143</v>
      </c>
      <c r="B62" s="315"/>
      <c r="C62" s="317"/>
      <c r="D62" s="318"/>
      <c r="E62" s="320"/>
      <c r="F62" s="318"/>
      <c r="G62" s="407"/>
      <c r="H62" s="75"/>
      <c r="I62" s="412">
        <v>11</v>
      </c>
      <c r="J62" s="419"/>
      <c r="K62" s="75"/>
      <c r="L62" s="75"/>
      <c r="M62" s="75"/>
      <c r="N62" s="75"/>
      <c r="O62" s="94">
        <v>5.5</v>
      </c>
      <c r="P62" s="63">
        <v>3</v>
      </c>
      <c r="R62" s="79" t="s">
        <v>2048</v>
      </c>
      <c r="S62" s="80" t="s">
        <v>60</v>
      </c>
      <c r="T62" s="81" t="s">
        <v>58</v>
      </c>
      <c r="U62" s="78" t="s">
        <v>144</v>
      </c>
      <c r="V62" s="84" t="s">
        <v>137</v>
      </c>
      <c r="W62" s="87" t="s">
        <v>1966</v>
      </c>
      <c r="X62" s="87" t="s">
        <v>104</v>
      </c>
    </row>
    <row r="63" spans="1:24">
      <c r="A63" s="91" t="s">
        <v>143</v>
      </c>
      <c r="B63" s="315">
        <v>26</v>
      </c>
      <c r="C63" s="317"/>
      <c r="D63" s="318"/>
      <c r="E63" s="320"/>
      <c r="F63" s="318"/>
      <c r="G63" s="407"/>
      <c r="H63" s="75"/>
      <c r="I63" s="412"/>
      <c r="J63" s="419"/>
      <c r="K63" s="75"/>
      <c r="L63" s="75"/>
      <c r="M63" s="75"/>
      <c r="N63" s="75"/>
      <c r="O63" s="94">
        <v>5.5</v>
      </c>
      <c r="P63" s="63">
        <v>3</v>
      </c>
      <c r="R63" s="79" t="s">
        <v>2048</v>
      </c>
      <c r="S63" s="80" t="s">
        <v>60</v>
      </c>
      <c r="T63" s="81" t="s">
        <v>58</v>
      </c>
      <c r="U63" s="78" t="s">
        <v>144</v>
      </c>
      <c r="V63" s="84" t="s">
        <v>137</v>
      </c>
      <c r="W63" s="87" t="s">
        <v>1966</v>
      </c>
      <c r="X63" s="87" t="s">
        <v>104</v>
      </c>
    </row>
    <row r="64" spans="1:24">
      <c r="A64" s="91" t="s">
        <v>143</v>
      </c>
      <c r="B64" s="315"/>
      <c r="C64" s="317"/>
      <c r="D64" s="318"/>
      <c r="E64" s="320"/>
      <c r="F64" s="318"/>
      <c r="G64" s="407"/>
      <c r="H64" s="75"/>
      <c r="I64" s="412"/>
      <c r="J64" s="419"/>
      <c r="K64" s="75"/>
      <c r="L64" s="75"/>
      <c r="M64" s="75"/>
      <c r="N64" s="75"/>
      <c r="O64" s="94">
        <v>5.5</v>
      </c>
      <c r="P64" s="63">
        <v>3</v>
      </c>
      <c r="R64" s="79" t="s">
        <v>2048</v>
      </c>
      <c r="S64" s="80" t="s">
        <v>60</v>
      </c>
      <c r="T64" s="81" t="s">
        <v>58</v>
      </c>
      <c r="U64" s="78" t="s">
        <v>144</v>
      </c>
      <c r="V64" s="84" t="s">
        <v>137</v>
      </c>
      <c r="W64" s="87" t="s">
        <v>1966</v>
      </c>
      <c r="X64" s="87" t="s">
        <v>104</v>
      </c>
    </row>
    <row r="65" spans="1:24">
      <c r="A65" s="91" t="s">
        <v>143</v>
      </c>
      <c r="B65" s="315"/>
      <c r="C65" s="317"/>
      <c r="D65" s="318"/>
      <c r="E65" s="320"/>
      <c r="F65" s="318"/>
      <c r="G65" s="407"/>
      <c r="H65" s="75"/>
      <c r="I65" s="412"/>
      <c r="J65" s="419"/>
      <c r="K65" s="75"/>
      <c r="L65" s="75"/>
      <c r="M65" s="75"/>
      <c r="N65" s="75"/>
      <c r="O65" s="94">
        <v>5.5</v>
      </c>
      <c r="P65" s="63">
        <v>3</v>
      </c>
      <c r="R65" s="79" t="s">
        <v>2048</v>
      </c>
      <c r="S65" s="80" t="s">
        <v>60</v>
      </c>
      <c r="T65" s="81" t="s">
        <v>58</v>
      </c>
      <c r="U65" s="78" t="s">
        <v>144</v>
      </c>
      <c r="V65" s="84" t="s">
        <v>137</v>
      </c>
      <c r="W65" s="87" t="s">
        <v>1966</v>
      </c>
      <c r="X65" s="87" t="s">
        <v>104</v>
      </c>
    </row>
    <row r="66" spans="1:24" ht="25.5">
      <c r="A66" s="92" t="s">
        <v>145</v>
      </c>
      <c r="B66" s="315"/>
      <c r="C66" s="317"/>
      <c r="D66" s="318"/>
      <c r="E66" s="320">
        <v>4</v>
      </c>
      <c r="F66" s="318"/>
      <c r="G66" s="407"/>
      <c r="H66" s="75"/>
      <c r="I66" s="412"/>
      <c r="J66" s="419"/>
      <c r="K66" s="75"/>
      <c r="L66" s="75"/>
      <c r="M66" s="75"/>
      <c r="N66" s="75"/>
      <c r="O66" s="94">
        <v>6</v>
      </c>
      <c r="P66" s="63">
        <v>8</v>
      </c>
      <c r="R66" s="79" t="s">
        <v>2047</v>
      </c>
      <c r="S66" s="80" t="s">
        <v>59</v>
      </c>
      <c r="T66" s="81" t="s">
        <v>46</v>
      </c>
      <c r="U66" s="78" t="s">
        <v>146</v>
      </c>
      <c r="V66" s="63" t="s">
        <v>147</v>
      </c>
      <c r="W66" s="87" t="s">
        <v>1965</v>
      </c>
      <c r="X66" s="87" t="s">
        <v>104</v>
      </c>
    </row>
    <row r="67" spans="1:24" ht="25.5">
      <c r="A67" s="92" t="s">
        <v>145</v>
      </c>
      <c r="B67" s="315"/>
      <c r="C67" s="317"/>
      <c r="D67" s="318"/>
      <c r="E67" s="320"/>
      <c r="F67" s="318"/>
      <c r="G67" s="407"/>
      <c r="H67" s="75"/>
      <c r="I67" s="412">
        <v>14</v>
      </c>
      <c r="J67" s="419"/>
      <c r="K67" s="75"/>
      <c r="L67" s="75"/>
      <c r="M67" s="75"/>
      <c r="N67" s="75"/>
      <c r="O67" s="94">
        <v>6</v>
      </c>
      <c r="P67" s="63">
        <v>8</v>
      </c>
      <c r="R67" s="79" t="s">
        <v>2047</v>
      </c>
      <c r="S67" s="80" t="s">
        <v>59</v>
      </c>
      <c r="T67" s="81" t="s">
        <v>46</v>
      </c>
      <c r="U67" s="78" t="s">
        <v>146</v>
      </c>
      <c r="V67" s="63" t="s">
        <v>147</v>
      </c>
      <c r="W67" s="87" t="s">
        <v>1965</v>
      </c>
      <c r="X67" s="87" t="s">
        <v>104</v>
      </c>
    </row>
    <row r="68" spans="1:24" ht="25.5">
      <c r="A68" s="92" t="s">
        <v>145</v>
      </c>
      <c r="B68" s="315">
        <v>24</v>
      </c>
      <c r="C68" s="317"/>
      <c r="D68" s="318"/>
      <c r="E68" s="320"/>
      <c r="F68" s="318"/>
      <c r="G68" s="407"/>
      <c r="H68" s="75"/>
      <c r="I68" s="412"/>
      <c r="J68" s="419"/>
      <c r="K68" s="75"/>
      <c r="L68" s="75"/>
      <c r="M68" s="75"/>
      <c r="N68" s="75"/>
      <c r="O68" s="94">
        <v>6</v>
      </c>
      <c r="P68" s="63">
        <v>8</v>
      </c>
      <c r="R68" s="79" t="s">
        <v>2047</v>
      </c>
      <c r="S68" s="80" t="s">
        <v>59</v>
      </c>
      <c r="T68" s="81" t="s">
        <v>46</v>
      </c>
      <c r="U68" s="78" t="s">
        <v>146</v>
      </c>
      <c r="V68" s="63" t="s">
        <v>147</v>
      </c>
      <c r="W68" s="87" t="s">
        <v>1965</v>
      </c>
      <c r="X68" s="87" t="s">
        <v>104</v>
      </c>
    </row>
    <row r="69" spans="1:24" ht="25.5">
      <c r="A69" s="92" t="s">
        <v>145</v>
      </c>
      <c r="B69" s="315"/>
      <c r="C69" s="317"/>
      <c r="D69" s="318"/>
      <c r="E69" s="320"/>
      <c r="F69" s="318"/>
      <c r="G69" s="407"/>
      <c r="H69" s="75"/>
      <c r="I69" s="412"/>
      <c r="J69" s="419"/>
      <c r="K69" s="75"/>
      <c r="L69" s="75"/>
      <c r="M69" s="75"/>
      <c r="N69" s="75"/>
      <c r="O69" s="94">
        <v>6</v>
      </c>
      <c r="P69" s="63">
        <v>8</v>
      </c>
      <c r="R69" s="79" t="s">
        <v>2047</v>
      </c>
      <c r="S69" s="80" t="s">
        <v>59</v>
      </c>
      <c r="T69" s="81" t="s">
        <v>46</v>
      </c>
      <c r="U69" s="78" t="s">
        <v>146</v>
      </c>
      <c r="V69" s="63" t="s">
        <v>147</v>
      </c>
      <c r="W69" s="87" t="s">
        <v>1965</v>
      </c>
      <c r="X69" s="87" t="s">
        <v>104</v>
      </c>
    </row>
    <row r="70" spans="1:24" ht="25.5">
      <c r="A70" s="95" t="s">
        <v>148</v>
      </c>
      <c r="B70" s="315"/>
      <c r="C70" s="317"/>
      <c r="D70" s="318"/>
      <c r="E70" s="320">
        <v>3</v>
      </c>
      <c r="F70" s="318"/>
      <c r="G70" s="407"/>
      <c r="H70" s="75"/>
      <c r="I70" s="412"/>
      <c r="J70" s="419"/>
      <c r="K70" s="75"/>
      <c r="L70" s="75"/>
      <c r="M70" s="75"/>
      <c r="N70" s="75"/>
      <c r="O70" s="94">
        <v>6.8</v>
      </c>
      <c r="P70" s="63">
        <v>8</v>
      </c>
      <c r="R70" s="79" t="s">
        <v>2047</v>
      </c>
      <c r="S70" s="80" t="s">
        <v>48</v>
      </c>
      <c r="T70" s="90" t="s">
        <v>1949</v>
      </c>
      <c r="U70" s="78" t="s">
        <v>149</v>
      </c>
      <c r="V70" s="63" t="s">
        <v>150</v>
      </c>
      <c r="W70" s="87" t="s">
        <v>1965</v>
      </c>
      <c r="X70" s="87" t="s">
        <v>104</v>
      </c>
    </row>
    <row r="71" spans="1:24" ht="25.5">
      <c r="A71" s="95" t="s">
        <v>148</v>
      </c>
      <c r="B71" s="315"/>
      <c r="C71" s="317"/>
      <c r="D71" s="318"/>
      <c r="E71" s="320"/>
      <c r="F71" s="318"/>
      <c r="G71" s="407"/>
      <c r="H71" s="75"/>
      <c r="I71" s="412">
        <v>17</v>
      </c>
      <c r="J71" s="419"/>
      <c r="K71" s="75"/>
      <c r="L71" s="75"/>
      <c r="M71" s="75"/>
      <c r="N71" s="75"/>
      <c r="O71" s="94">
        <v>6.8</v>
      </c>
      <c r="P71" s="63">
        <v>8</v>
      </c>
      <c r="R71" s="79" t="s">
        <v>2047</v>
      </c>
      <c r="S71" s="80" t="s">
        <v>48</v>
      </c>
      <c r="T71" s="90" t="s">
        <v>1949</v>
      </c>
      <c r="U71" s="78" t="s">
        <v>149</v>
      </c>
      <c r="V71" s="63" t="s">
        <v>150</v>
      </c>
      <c r="W71" s="87" t="s">
        <v>1965</v>
      </c>
      <c r="X71" s="87" t="s">
        <v>104</v>
      </c>
    </row>
    <row r="72" spans="1:24" ht="25.5">
      <c r="A72" s="95" t="s">
        <v>148</v>
      </c>
      <c r="B72" s="315"/>
      <c r="C72" s="317"/>
      <c r="D72" s="318"/>
      <c r="E72" s="320"/>
      <c r="F72" s="318"/>
      <c r="G72" s="407"/>
      <c r="H72" s="75"/>
      <c r="I72" s="412"/>
      <c r="J72" s="419"/>
      <c r="K72" s="75"/>
      <c r="L72" s="75"/>
      <c r="M72" s="75"/>
      <c r="N72" s="75"/>
      <c r="O72" s="94">
        <v>6.8</v>
      </c>
      <c r="P72" s="63">
        <v>8</v>
      </c>
      <c r="R72" s="79" t="s">
        <v>2047</v>
      </c>
      <c r="S72" s="80" t="s">
        <v>48</v>
      </c>
      <c r="T72" s="90" t="s">
        <v>1949</v>
      </c>
      <c r="U72" s="78" t="s">
        <v>149</v>
      </c>
      <c r="V72" s="63" t="s">
        <v>150</v>
      </c>
      <c r="W72" s="87" t="s">
        <v>1965</v>
      </c>
      <c r="X72" s="87" t="s">
        <v>104</v>
      </c>
    </row>
    <row r="73" spans="1:24" ht="25.5">
      <c r="A73" s="95" t="s">
        <v>148</v>
      </c>
      <c r="B73" s="315"/>
      <c r="C73" s="317"/>
      <c r="D73" s="318"/>
      <c r="E73" s="320"/>
      <c r="F73" s="318"/>
      <c r="G73" s="407"/>
      <c r="H73" s="75"/>
      <c r="I73" s="412"/>
      <c r="J73" s="419"/>
      <c r="K73" s="75"/>
      <c r="L73" s="75"/>
      <c r="M73" s="75"/>
      <c r="N73" s="75"/>
      <c r="O73" s="94">
        <v>6.8</v>
      </c>
      <c r="P73" s="63">
        <v>8</v>
      </c>
      <c r="R73" s="79" t="s">
        <v>2047</v>
      </c>
      <c r="S73" s="80" t="s">
        <v>48</v>
      </c>
      <c r="T73" s="90" t="s">
        <v>1949</v>
      </c>
      <c r="U73" s="78" t="s">
        <v>149</v>
      </c>
      <c r="V73" s="63" t="s">
        <v>150</v>
      </c>
      <c r="W73" s="87" t="s">
        <v>1965</v>
      </c>
      <c r="X73" s="87" t="s">
        <v>104</v>
      </c>
    </row>
    <row r="74" spans="1:24">
      <c r="A74" s="91" t="s">
        <v>151</v>
      </c>
      <c r="B74" s="315"/>
      <c r="C74" s="317"/>
      <c r="D74" s="318"/>
      <c r="E74" s="320"/>
      <c r="F74" s="318"/>
      <c r="G74" s="407"/>
      <c r="H74" s="75"/>
      <c r="I74" s="412"/>
      <c r="J74" s="419"/>
      <c r="K74" s="75"/>
      <c r="L74" s="75"/>
      <c r="M74" s="75"/>
      <c r="N74" s="75"/>
      <c r="O74" s="94">
        <v>6.7</v>
      </c>
      <c r="P74" s="63">
        <v>2</v>
      </c>
      <c r="R74" s="79" t="s">
        <v>2048</v>
      </c>
      <c r="S74" s="80" t="s">
        <v>55</v>
      </c>
      <c r="T74" s="81" t="s">
        <v>43</v>
      </c>
      <c r="U74" s="78" t="s">
        <v>152</v>
      </c>
      <c r="V74" s="63" t="s">
        <v>153</v>
      </c>
      <c r="W74" s="87" t="s">
        <v>1966</v>
      </c>
      <c r="X74" s="87" t="s">
        <v>104</v>
      </c>
    </row>
    <row r="75" spans="1:24">
      <c r="A75" s="91" t="s">
        <v>151</v>
      </c>
      <c r="B75" s="315">
        <v>19</v>
      </c>
      <c r="C75" s="317"/>
      <c r="D75" s="318"/>
      <c r="E75" s="320"/>
      <c r="F75" s="318"/>
      <c r="G75" s="407"/>
      <c r="H75" s="75"/>
      <c r="I75" s="412"/>
      <c r="J75" s="419"/>
      <c r="K75" s="75"/>
      <c r="L75" s="75"/>
      <c r="M75" s="75"/>
      <c r="N75" s="75"/>
      <c r="O75" s="94">
        <v>6.7</v>
      </c>
      <c r="P75" s="63">
        <v>2</v>
      </c>
      <c r="R75" s="79" t="s">
        <v>2048</v>
      </c>
      <c r="S75" s="80" t="s">
        <v>55</v>
      </c>
      <c r="T75" s="81" t="s">
        <v>43</v>
      </c>
      <c r="U75" s="78" t="s">
        <v>152</v>
      </c>
      <c r="V75" s="63" t="s">
        <v>153</v>
      </c>
      <c r="W75" s="87" t="s">
        <v>1966</v>
      </c>
      <c r="X75" s="87" t="s">
        <v>104</v>
      </c>
    </row>
    <row r="76" spans="1:24">
      <c r="A76" s="91" t="s">
        <v>151</v>
      </c>
      <c r="B76" s="315"/>
      <c r="C76" s="317"/>
      <c r="D76" s="318"/>
      <c r="E76" s="320"/>
      <c r="F76" s="318"/>
      <c r="G76" s="407"/>
      <c r="H76" s="75"/>
      <c r="I76" s="412"/>
      <c r="J76" s="419"/>
      <c r="K76" s="75"/>
      <c r="L76" s="75"/>
      <c r="M76" s="75"/>
      <c r="N76" s="75"/>
      <c r="O76" s="94">
        <v>6.7</v>
      </c>
      <c r="P76" s="63">
        <v>2</v>
      </c>
      <c r="R76" s="79" t="s">
        <v>2048</v>
      </c>
      <c r="S76" s="80" t="s">
        <v>55</v>
      </c>
      <c r="T76" s="81" t="s">
        <v>43</v>
      </c>
      <c r="U76" s="78" t="s">
        <v>152</v>
      </c>
      <c r="V76" s="63" t="s">
        <v>153</v>
      </c>
      <c r="W76" s="87" t="s">
        <v>1966</v>
      </c>
      <c r="X76" s="87" t="s">
        <v>104</v>
      </c>
    </row>
    <row r="77" spans="1:24">
      <c r="A77" s="91" t="s">
        <v>151</v>
      </c>
      <c r="B77" s="315"/>
      <c r="C77" s="317"/>
      <c r="D77" s="318"/>
      <c r="E77" s="320"/>
      <c r="F77" s="318"/>
      <c r="G77" s="407"/>
      <c r="H77" s="75"/>
      <c r="I77" s="412"/>
      <c r="J77" s="419"/>
      <c r="K77" s="75"/>
      <c r="L77" s="75"/>
      <c r="M77" s="75"/>
      <c r="N77" s="75"/>
      <c r="O77" s="94">
        <v>6.7</v>
      </c>
      <c r="P77" s="63">
        <v>2</v>
      </c>
      <c r="R77" s="79" t="s">
        <v>2048</v>
      </c>
      <c r="S77" s="80" t="s">
        <v>55</v>
      </c>
      <c r="T77" s="81" t="s">
        <v>43</v>
      </c>
      <c r="U77" s="78" t="s">
        <v>152</v>
      </c>
      <c r="V77" s="63" t="s">
        <v>153</v>
      </c>
      <c r="W77" s="87" t="s">
        <v>1966</v>
      </c>
      <c r="X77" s="87" t="s">
        <v>104</v>
      </c>
    </row>
    <row r="78" spans="1:24" ht="25.5">
      <c r="A78" s="91" t="s">
        <v>154</v>
      </c>
      <c r="B78" s="315"/>
      <c r="C78" s="317"/>
      <c r="D78" s="318"/>
      <c r="E78" s="320"/>
      <c r="F78" s="318"/>
      <c r="G78" s="407"/>
      <c r="H78" s="75"/>
      <c r="I78" s="412">
        <v>6</v>
      </c>
      <c r="J78" s="419"/>
      <c r="K78" s="75"/>
      <c r="L78" s="75"/>
      <c r="M78" s="75"/>
      <c r="N78" s="75"/>
      <c r="O78" s="94">
        <v>7.3</v>
      </c>
      <c r="P78" s="63">
        <v>3</v>
      </c>
      <c r="R78" s="79" t="s">
        <v>2048</v>
      </c>
      <c r="S78" s="80" t="s">
        <v>55</v>
      </c>
      <c r="T78" s="81" t="s">
        <v>1950</v>
      </c>
      <c r="U78" s="78" t="s">
        <v>152</v>
      </c>
      <c r="V78" s="63" t="s">
        <v>155</v>
      </c>
      <c r="W78" s="87" t="s">
        <v>1966</v>
      </c>
      <c r="X78" s="87" t="s">
        <v>104</v>
      </c>
    </row>
    <row r="79" spans="1:24">
      <c r="A79" s="93" t="s">
        <v>156</v>
      </c>
      <c r="B79" s="315"/>
      <c r="C79" s="317"/>
      <c r="D79" s="318"/>
      <c r="E79" s="320"/>
      <c r="F79" s="318"/>
      <c r="G79" s="407"/>
      <c r="H79" s="75"/>
      <c r="I79" s="412">
        <v>7</v>
      </c>
      <c r="J79" s="419"/>
      <c r="K79" s="75"/>
      <c r="L79" s="75"/>
      <c r="M79" s="75"/>
      <c r="N79" s="75"/>
      <c r="O79" s="94">
        <v>7.3</v>
      </c>
      <c r="P79" s="63">
        <v>3</v>
      </c>
      <c r="R79" s="79" t="s">
        <v>2048</v>
      </c>
      <c r="S79" s="80" t="s">
        <v>55</v>
      </c>
      <c r="T79" s="81" t="s">
        <v>43</v>
      </c>
      <c r="U79" s="78" t="s">
        <v>157</v>
      </c>
      <c r="V79" s="78" t="s">
        <v>158</v>
      </c>
      <c r="W79" s="87" t="s">
        <v>1966</v>
      </c>
      <c r="X79" s="87" t="s">
        <v>104</v>
      </c>
    </row>
    <row r="80" spans="1:24">
      <c r="A80" s="93" t="s">
        <v>156</v>
      </c>
      <c r="B80" s="315">
        <v>20</v>
      </c>
      <c r="C80" s="317"/>
      <c r="D80" s="318"/>
      <c r="E80" s="320"/>
      <c r="F80" s="318"/>
      <c r="G80" s="407"/>
      <c r="H80" s="75"/>
      <c r="I80" s="412"/>
      <c r="J80" s="419"/>
      <c r="K80" s="75"/>
      <c r="L80" s="75"/>
      <c r="M80" s="75"/>
      <c r="N80" s="75"/>
      <c r="O80" s="94">
        <v>7.3</v>
      </c>
      <c r="P80" s="63">
        <v>3</v>
      </c>
      <c r="R80" s="79" t="s">
        <v>2048</v>
      </c>
      <c r="S80" s="80" t="s">
        <v>55</v>
      </c>
      <c r="T80" s="81" t="s">
        <v>43</v>
      </c>
      <c r="U80" s="78" t="s">
        <v>157</v>
      </c>
      <c r="V80" s="78" t="s">
        <v>158</v>
      </c>
      <c r="W80" s="87" t="s">
        <v>1966</v>
      </c>
      <c r="X80" s="87" t="s">
        <v>104</v>
      </c>
    </row>
    <row r="81" spans="1:24">
      <c r="A81" s="93" t="s">
        <v>156</v>
      </c>
      <c r="B81" s="315"/>
      <c r="C81" s="317"/>
      <c r="D81" s="318"/>
      <c r="E81" s="320"/>
      <c r="F81" s="318"/>
      <c r="G81" s="407"/>
      <c r="H81" s="75"/>
      <c r="I81" s="412"/>
      <c r="J81" s="419"/>
      <c r="K81" s="75"/>
      <c r="L81" s="75"/>
      <c r="M81" s="75"/>
      <c r="N81" s="75"/>
      <c r="O81" s="94">
        <v>7.3</v>
      </c>
      <c r="P81" s="63">
        <v>3</v>
      </c>
      <c r="R81" s="79" t="s">
        <v>2048</v>
      </c>
      <c r="S81" s="80" t="s">
        <v>55</v>
      </c>
      <c r="T81" s="81" t="s">
        <v>43</v>
      </c>
      <c r="U81" s="78" t="s">
        <v>157</v>
      </c>
      <c r="V81" s="78" t="s">
        <v>158</v>
      </c>
      <c r="W81" s="87" t="s">
        <v>1966</v>
      </c>
      <c r="X81" s="87" t="s">
        <v>104</v>
      </c>
    </row>
    <row r="82" spans="1:24">
      <c r="A82" s="93" t="s">
        <v>156</v>
      </c>
      <c r="B82" s="315"/>
      <c r="C82" s="317"/>
      <c r="D82" s="318"/>
      <c r="E82" s="320"/>
      <c r="F82" s="318"/>
      <c r="G82" s="407"/>
      <c r="H82" s="75"/>
      <c r="I82" s="412"/>
      <c r="J82" s="419"/>
      <c r="K82" s="75"/>
      <c r="L82" s="75"/>
      <c r="M82" s="75"/>
      <c r="N82" s="75"/>
      <c r="O82" s="94">
        <v>7.3</v>
      </c>
      <c r="P82" s="63">
        <v>3</v>
      </c>
      <c r="R82" s="79" t="s">
        <v>2048</v>
      </c>
      <c r="S82" s="80" t="s">
        <v>55</v>
      </c>
      <c r="T82" s="81" t="s">
        <v>43</v>
      </c>
      <c r="U82" s="78" t="s">
        <v>157</v>
      </c>
      <c r="V82" s="78" t="s">
        <v>158</v>
      </c>
      <c r="W82" s="87" t="s">
        <v>1966</v>
      </c>
      <c r="X82" s="87" t="s">
        <v>104</v>
      </c>
    </row>
    <row r="83" spans="1:24">
      <c r="A83" s="86" t="s">
        <v>159</v>
      </c>
      <c r="B83" s="315"/>
      <c r="C83" s="317"/>
      <c r="D83" s="318"/>
      <c r="E83" s="320">
        <v>5</v>
      </c>
      <c r="F83" s="318"/>
      <c r="G83" s="407"/>
      <c r="H83" s="75"/>
      <c r="I83" s="412"/>
      <c r="J83" s="419"/>
      <c r="K83" s="75"/>
      <c r="L83" s="75"/>
      <c r="M83" s="75"/>
      <c r="N83" s="75"/>
      <c r="O83" s="94">
        <v>7.3</v>
      </c>
      <c r="P83" s="63">
        <v>4</v>
      </c>
      <c r="R83" s="79" t="s">
        <v>2048</v>
      </c>
      <c r="S83" s="80" t="s">
        <v>62</v>
      </c>
      <c r="T83" s="81" t="s">
        <v>44</v>
      </c>
      <c r="U83" s="78" t="s">
        <v>160</v>
      </c>
      <c r="V83" s="78" t="s">
        <v>161</v>
      </c>
      <c r="W83" s="87" t="s">
        <v>1966</v>
      </c>
      <c r="X83" s="87" t="s">
        <v>104</v>
      </c>
    </row>
    <row r="84" spans="1:24">
      <c r="A84" s="86" t="s">
        <v>159</v>
      </c>
      <c r="B84" s="315"/>
      <c r="C84" s="317"/>
      <c r="D84" s="318"/>
      <c r="E84" s="320"/>
      <c r="F84" s="318"/>
      <c r="G84" s="407"/>
      <c r="H84" s="75"/>
      <c r="I84" s="412">
        <v>18</v>
      </c>
      <c r="J84" s="419"/>
      <c r="K84" s="75"/>
      <c r="L84" s="75"/>
      <c r="M84" s="75"/>
      <c r="N84" s="75"/>
      <c r="O84" s="94">
        <v>7.3</v>
      </c>
      <c r="P84" s="63">
        <v>4</v>
      </c>
      <c r="R84" s="79" t="s">
        <v>2048</v>
      </c>
      <c r="S84" s="80" t="s">
        <v>62</v>
      </c>
      <c r="T84" s="81" t="s">
        <v>44</v>
      </c>
      <c r="U84" s="78" t="s">
        <v>160</v>
      </c>
      <c r="V84" s="78" t="s">
        <v>161</v>
      </c>
      <c r="W84" s="87" t="s">
        <v>1966</v>
      </c>
      <c r="X84" s="87" t="s">
        <v>104</v>
      </c>
    </row>
    <row r="85" spans="1:24">
      <c r="A85" s="86" t="s">
        <v>159</v>
      </c>
      <c r="B85" s="315"/>
      <c r="C85" s="317"/>
      <c r="D85" s="318"/>
      <c r="E85" s="320"/>
      <c r="F85" s="318"/>
      <c r="G85" s="407"/>
      <c r="H85" s="75"/>
      <c r="I85" s="412"/>
      <c r="J85" s="419"/>
      <c r="K85" s="75"/>
      <c r="L85" s="75"/>
      <c r="M85" s="75"/>
      <c r="N85" s="75"/>
      <c r="O85" s="94">
        <v>7.3</v>
      </c>
      <c r="P85" s="63">
        <v>4</v>
      </c>
      <c r="R85" s="79" t="s">
        <v>2048</v>
      </c>
      <c r="S85" s="80" t="s">
        <v>62</v>
      </c>
      <c r="T85" s="81" t="s">
        <v>44</v>
      </c>
      <c r="U85" s="78" t="s">
        <v>160</v>
      </c>
      <c r="V85" s="78" t="s">
        <v>161</v>
      </c>
      <c r="W85" s="87" t="s">
        <v>1966</v>
      </c>
      <c r="X85" s="87" t="s">
        <v>104</v>
      </c>
    </row>
    <row r="86" spans="1:24">
      <c r="A86" s="86" t="s">
        <v>159</v>
      </c>
      <c r="B86" s="315"/>
      <c r="C86" s="317"/>
      <c r="D86" s="318"/>
      <c r="E86" s="320"/>
      <c r="F86" s="318"/>
      <c r="G86" s="407"/>
      <c r="H86" s="75"/>
      <c r="I86" s="412"/>
      <c r="J86" s="419"/>
      <c r="K86" s="75"/>
      <c r="L86" s="75"/>
      <c r="M86" s="75"/>
      <c r="N86" s="75"/>
      <c r="O86" s="94">
        <v>7.3</v>
      </c>
      <c r="P86" s="63">
        <v>4</v>
      </c>
      <c r="R86" s="79" t="s">
        <v>2048</v>
      </c>
      <c r="S86" s="80" t="s">
        <v>62</v>
      </c>
      <c r="T86" s="81" t="s">
        <v>44</v>
      </c>
      <c r="U86" s="78" t="s">
        <v>160</v>
      </c>
      <c r="V86" s="78" t="s">
        <v>161</v>
      </c>
      <c r="W86" s="87" t="s">
        <v>1966</v>
      </c>
      <c r="X86" s="87" t="s">
        <v>104</v>
      </c>
    </row>
    <row r="87" spans="1:24">
      <c r="A87" s="95" t="s">
        <v>162</v>
      </c>
      <c r="B87" s="315"/>
      <c r="C87" s="317"/>
      <c r="D87" s="318"/>
      <c r="E87" s="320">
        <v>6</v>
      </c>
      <c r="F87" s="318"/>
      <c r="G87" s="407"/>
      <c r="H87" s="75"/>
      <c r="I87" s="412"/>
      <c r="J87" s="419"/>
      <c r="K87" s="75"/>
      <c r="L87" s="75"/>
      <c r="M87" s="75"/>
      <c r="N87" s="75"/>
      <c r="O87" s="94">
        <v>6.7</v>
      </c>
      <c r="P87" s="63">
        <v>1</v>
      </c>
      <c r="R87" s="79" t="s">
        <v>2048</v>
      </c>
      <c r="S87" s="80" t="s">
        <v>62</v>
      </c>
      <c r="T87" s="81" t="s">
        <v>44</v>
      </c>
      <c r="U87" s="78" t="s">
        <v>163</v>
      </c>
      <c r="V87" s="78" t="s">
        <v>164</v>
      </c>
      <c r="W87" s="87" t="s">
        <v>1966</v>
      </c>
      <c r="X87" s="87" t="s">
        <v>104</v>
      </c>
    </row>
    <row r="88" spans="1:24">
      <c r="A88" s="95" t="s">
        <v>162</v>
      </c>
      <c r="B88" s="315"/>
      <c r="C88" s="317"/>
      <c r="D88" s="318"/>
      <c r="E88" s="320"/>
      <c r="F88" s="318"/>
      <c r="G88" s="407"/>
      <c r="H88" s="75"/>
      <c r="I88" s="412">
        <v>19</v>
      </c>
      <c r="J88" s="419"/>
      <c r="K88" s="75"/>
      <c r="L88" s="75"/>
      <c r="M88" s="75"/>
      <c r="N88" s="75"/>
      <c r="O88" s="94">
        <v>6.7</v>
      </c>
      <c r="P88" s="63">
        <v>1</v>
      </c>
      <c r="R88" s="79" t="s">
        <v>2048</v>
      </c>
      <c r="S88" s="80" t="s">
        <v>62</v>
      </c>
      <c r="T88" s="81" t="s">
        <v>44</v>
      </c>
      <c r="U88" s="78" t="s">
        <v>163</v>
      </c>
      <c r="V88" s="78" t="s">
        <v>164</v>
      </c>
      <c r="W88" s="87" t="s">
        <v>1966</v>
      </c>
      <c r="X88" s="87" t="s">
        <v>104</v>
      </c>
    </row>
    <row r="89" spans="1:24">
      <c r="A89" s="95" t="s">
        <v>162</v>
      </c>
      <c r="B89" s="315"/>
      <c r="C89" s="317"/>
      <c r="D89" s="318"/>
      <c r="E89" s="320"/>
      <c r="F89" s="318"/>
      <c r="G89" s="407"/>
      <c r="H89" s="75"/>
      <c r="I89" s="412"/>
      <c r="J89" s="419"/>
      <c r="K89" s="75"/>
      <c r="L89" s="75"/>
      <c r="M89" s="75"/>
      <c r="N89" s="75"/>
      <c r="O89" s="94">
        <v>6.7</v>
      </c>
      <c r="P89" s="63">
        <v>1</v>
      </c>
      <c r="R89" s="79" t="s">
        <v>2048</v>
      </c>
      <c r="S89" s="80" t="s">
        <v>62</v>
      </c>
      <c r="T89" s="81" t="s">
        <v>44</v>
      </c>
      <c r="U89" s="78" t="s">
        <v>163</v>
      </c>
      <c r="V89" s="78" t="s">
        <v>164</v>
      </c>
      <c r="W89" s="87" t="s">
        <v>1966</v>
      </c>
      <c r="X89" s="87" t="s">
        <v>104</v>
      </c>
    </row>
    <row r="90" spans="1:24">
      <c r="A90" s="95" t="s">
        <v>162</v>
      </c>
      <c r="B90" s="315"/>
      <c r="C90" s="317"/>
      <c r="D90" s="318"/>
      <c r="E90" s="320"/>
      <c r="F90" s="318"/>
      <c r="G90" s="407"/>
      <c r="H90" s="75"/>
      <c r="I90" s="412"/>
      <c r="J90" s="419"/>
      <c r="K90" s="75"/>
      <c r="L90" s="75"/>
      <c r="M90" s="75"/>
      <c r="N90" s="75"/>
      <c r="O90" s="94">
        <v>6.7</v>
      </c>
      <c r="P90" s="63">
        <v>1</v>
      </c>
      <c r="R90" s="79" t="s">
        <v>2048</v>
      </c>
      <c r="S90" s="80" t="s">
        <v>62</v>
      </c>
      <c r="T90" s="81" t="s">
        <v>44</v>
      </c>
      <c r="U90" s="78" t="s">
        <v>163</v>
      </c>
      <c r="V90" s="78" t="s">
        <v>164</v>
      </c>
      <c r="W90" s="87" t="s">
        <v>1966</v>
      </c>
      <c r="X90" s="87" t="s">
        <v>104</v>
      </c>
    </row>
    <row r="91" spans="1:24">
      <c r="A91" s="74" t="s">
        <v>165</v>
      </c>
      <c r="B91" s="315"/>
      <c r="C91" s="317"/>
      <c r="D91" s="318"/>
      <c r="E91" s="320"/>
      <c r="F91" s="318"/>
      <c r="G91" s="407"/>
      <c r="H91" s="75"/>
      <c r="I91" s="412"/>
      <c r="J91" s="419"/>
      <c r="K91" s="75"/>
      <c r="L91" s="75"/>
      <c r="M91" s="75"/>
      <c r="N91" s="75"/>
      <c r="O91" s="94">
        <v>6.9</v>
      </c>
      <c r="P91" s="63">
        <v>2</v>
      </c>
      <c r="R91" s="79" t="s">
        <v>2048</v>
      </c>
      <c r="S91" s="80" t="s">
        <v>57</v>
      </c>
      <c r="T91" s="81" t="s">
        <v>44</v>
      </c>
      <c r="U91" s="63" t="s">
        <v>166</v>
      </c>
      <c r="V91" s="78" t="s">
        <v>167</v>
      </c>
      <c r="W91" s="87" t="s">
        <v>1966</v>
      </c>
      <c r="X91" s="87" t="s">
        <v>104</v>
      </c>
    </row>
    <row r="92" spans="1:24">
      <c r="A92" s="74" t="s">
        <v>165</v>
      </c>
      <c r="B92" s="315"/>
      <c r="C92" s="317"/>
      <c r="D92" s="318"/>
      <c r="E92" s="320"/>
      <c r="F92" s="318"/>
      <c r="G92" s="407"/>
      <c r="H92" s="75"/>
      <c r="I92" s="412"/>
      <c r="J92" s="419"/>
      <c r="K92" s="75"/>
      <c r="L92" s="75"/>
      <c r="M92" s="75"/>
      <c r="N92" s="75"/>
      <c r="O92" s="94">
        <v>6.9</v>
      </c>
      <c r="P92" s="63">
        <v>2</v>
      </c>
      <c r="R92" s="79" t="s">
        <v>2048</v>
      </c>
      <c r="S92" s="80" t="s">
        <v>57</v>
      </c>
      <c r="T92" s="81" t="s">
        <v>44</v>
      </c>
      <c r="U92" s="63" t="s">
        <v>166</v>
      </c>
      <c r="V92" s="78" t="s">
        <v>167</v>
      </c>
      <c r="W92" s="87" t="s">
        <v>1966</v>
      </c>
      <c r="X92" s="87" t="s">
        <v>104</v>
      </c>
    </row>
    <row r="93" spans="1:24">
      <c r="A93" s="74" t="s">
        <v>165</v>
      </c>
      <c r="B93" s="315"/>
      <c r="C93" s="317"/>
      <c r="D93" s="318"/>
      <c r="E93" s="320">
        <v>17</v>
      </c>
      <c r="F93" s="318"/>
      <c r="G93" s="407"/>
      <c r="H93" s="75"/>
      <c r="I93" s="412"/>
      <c r="J93" s="419"/>
      <c r="K93" s="75"/>
      <c r="L93" s="75"/>
      <c r="M93" s="75"/>
      <c r="N93" s="75"/>
      <c r="O93" s="94">
        <v>6.9</v>
      </c>
      <c r="P93" s="63">
        <v>2</v>
      </c>
      <c r="R93" s="79" t="s">
        <v>2048</v>
      </c>
      <c r="S93" s="80" t="s">
        <v>57</v>
      </c>
      <c r="T93" s="81" t="s">
        <v>44</v>
      </c>
      <c r="U93" s="63" t="s">
        <v>166</v>
      </c>
      <c r="V93" s="78" t="s">
        <v>167</v>
      </c>
      <c r="W93" s="87" t="s">
        <v>1966</v>
      </c>
      <c r="X93" s="87" t="s">
        <v>104</v>
      </c>
    </row>
    <row r="94" spans="1:24">
      <c r="A94" s="74" t="s">
        <v>165</v>
      </c>
      <c r="B94" s="315"/>
      <c r="C94" s="317"/>
      <c r="D94" s="318"/>
      <c r="E94" s="320"/>
      <c r="F94" s="318"/>
      <c r="G94" s="407"/>
      <c r="H94" s="75"/>
      <c r="I94" s="412">
        <v>27</v>
      </c>
      <c r="J94" s="419"/>
      <c r="K94" s="75"/>
      <c r="L94" s="75"/>
      <c r="M94" s="75"/>
      <c r="N94" s="75"/>
      <c r="O94" s="94">
        <v>6.9</v>
      </c>
      <c r="P94" s="63">
        <v>2</v>
      </c>
      <c r="R94" s="79" t="s">
        <v>2048</v>
      </c>
      <c r="S94" s="80" t="s">
        <v>57</v>
      </c>
      <c r="T94" s="81" t="s">
        <v>44</v>
      </c>
      <c r="U94" s="63" t="s">
        <v>166</v>
      </c>
      <c r="V94" s="78" t="s">
        <v>167</v>
      </c>
      <c r="W94" s="87" t="s">
        <v>1966</v>
      </c>
      <c r="X94" s="87" t="s">
        <v>104</v>
      </c>
    </row>
    <row r="95" spans="1:24" ht="25.5">
      <c r="A95" s="74" t="s">
        <v>168</v>
      </c>
      <c r="B95" s="315"/>
      <c r="C95" s="317">
        <v>6</v>
      </c>
      <c r="D95" s="318"/>
      <c r="E95" s="320"/>
      <c r="F95" s="318"/>
      <c r="G95" s="407"/>
      <c r="H95" s="75"/>
      <c r="I95" s="412"/>
      <c r="J95" s="419"/>
      <c r="K95" s="75"/>
      <c r="L95" s="75"/>
      <c r="M95" s="75"/>
      <c r="N95" s="75"/>
      <c r="O95" s="94">
        <v>7.4</v>
      </c>
      <c r="P95" s="63">
        <v>5</v>
      </c>
      <c r="R95" s="79" t="s">
        <v>2048</v>
      </c>
      <c r="S95" s="80" t="s">
        <v>57</v>
      </c>
      <c r="T95" s="81" t="s">
        <v>1951</v>
      </c>
      <c r="U95" s="63" t="s">
        <v>166</v>
      </c>
      <c r="V95" s="78" t="s">
        <v>169</v>
      </c>
      <c r="W95" s="87" t="s">
        <v>1966</v>
      </c>
      <c r="X95" s="87" t="s">
        <v>104</v>
      </c>
    </row>
    <row r="96" spans="1:24">
      <c r="A96" s="93" t="s">
        <v>170</v>
      </c>
      <c r="B96" s="315"/>
      <c r="C96" s="317"/>
      <c r="D96" s="318"/>
      <c r="E96" s="320"/>
      <c r="F96" s="318"/>
      <c r="G96" s="407"/>
      <c r="H96" s="75"/>
      <c r="I96" s="412"/>
      <c r="J96" s="419"/>
      <c r="K96" s="75"/>
      <c r="L96" s="75"/>
      <c r="M96" s="75"/>
      <c r="N96" s="75"/>
      <c r="O96" s="94">
        <v>4.8</v>
      </c>
      <c r="P96" s="63">
        <v>1</v>
      </c>
      <c r="R96" s="79" t="s">
        <v>2048</v>
      </c>
      <c r="S96" s="80" t="s">
        <v>57</v>
      </c>
      <c r="T96" s="81" t="s">
        <v>44</v>
      </c>
      <c r="U96" s="63" t="s">
        <v>171</v>
      </c>
      <c r="V96" s="78" t="s">
        <v>172</v>
      </c>
      <c r="W96" s="87" t="s">
        <v>1966</v>
      </c>
      <c r="X96" s="87" t="s">
        <v>104</v>
      </c>
    </row>
    <row r="97" spans="1:24">
      <c r="A97" s="93" t="s">
        <v>170</v>
      </c>
      <c r="B97" s="315"/>
      <c r="C97" s="317">
        <v>7</v>
      </c>
      <c r="D97" s="318"/>
      <c r="E97" s="320"/>
      <c r="F97" s="318"/>
      <c r="G97" s="407"/>
      <c r="H97" s="75"/>
      <c r="I97" s="412"/>
      <c r="J97" s="419"/>
      <c r="K97" s="75"/>
      <c r="L97" s="75"/>
      <c r="M97" s="75"/>
      <c r="N97" s="75"/>
      <c r="O97" s="94">
        <v>4.8</v>
      </c>
      <c r="P97" s="63">
        <v>1</v>
      </c>
      <c r="R97" s="79" t="s">
        <v>2048</v>
      </c>
      <c r="S97" s="80" t="s">
        <v>57</v>
      </c>
      <c r="T97" s="81" t="s">
        <v>44</v>
      </c>
      <c r="U97" s="63" t="s">
        <v>171</v>
      </c>
      <c r="V97" s="78" t="s">
        <v>172</v>
      </c>
      <c r="W97" s="87" t="s">
        <v>1966</v>
      </c>
      <c r="X97" s="87" t="s">
        <v>104</v>
      </c>
    </row>
    <row r="98" spans="1:24">
      <c r="A98" s="93" t="s">
        <v>170</v>
      </c>
      <c r="B98" s="315"/>
      <c r="C98" s="317"/>
      <c r="D98" s="318"/>
      <c r="E98" s="320">
        <v>18</v>
      </c>
      <c r="F98" s="318"/>
      <c r="G98" s="407"/>
      <c r="H98" s="75"/>
      <c r="I98" s="412"/>
      <c r="J98" s="419"/>
      <c r="K98" s="75"/>
      <c r="L98" s="75"/>
      <c r="M98" s="75"/>
      <c r="N98" s="75"/>
      <c r="O98" s="94">
        <v>4.8</v>
      </c>
      <c r="P98" s="63">
        <v>1</v>
      </c>
      <c r="R98" s="79" t="s">
        <v>2048</v>
      </c>
      <c r="S98" s="80" t="s">
        <v>57</v>
      </c>
      <c r="T98" s="81" t="s">
        <v>44</v>
      </c>
      <c r="U98" s="63" t="s">
        <v>171</v>
      </c>
      <c r="V98" s="78" t="s">
        <v>172</v>
      </c>
      <c r="W98" s="87" t="s">
        <v>1966</v>
      </c>
      <c r="X98" s="87" t="s">
        <v>104</v>
      </c>
    </row>
    <row r="99" spans="1:24">
      <c r="A99" s="93" t="s">
        <v>170</v>
      </c>
      <c r="B99" s="315"/>
      <c r="C99" s="317"/>
      <c r="D99" s="318"/>
      <c r="E99" s="320"/>
      <c r="F99" s="318"/>
      <c r="G99" s="407"/>
      <c r="H99" s="75"/>
      <c r="I99" s="412">
        <v>28</v>
      </c>
      <c r="J99" s="419"/>
      <c r="K99" s="75"/>
      <c r="L99" s="75"/>
      <c r="M99" s="75"/>
      <c r="N99" s="75"/>
      <c r="O99" s="94">
        <v>4.8</v>
      </c>
      <c r="P99" s="63">
        <v>1</v>
      </c>
      <c r="R99" s="79" t="s">
        <v>2048</v>
      </c>
      <c r="S99" s="80" t="s">
        <v>57</v>
      </c>
      <c r="T99" s="81" t="s">
        <v>44</v>
      </c>
      <c r="U99" s="63" t="s">
        <v>171</v>
      </c>
      <c r="V99" s="78" t="s">
        <v>172</v>
      </c>
      <c r="W99" s="87" t="s">
        <v>1966</v>
      </c>
      <c r="X99" s="87" t="s">
        <v>104</v>
      </c>
    </row>
    <row r="100" spans="1:24" ht="25.5">
      <c r="A100" s="74" t="s">
        <v>173</v>
      </c>
      <c r="B100" s="315"/>
      <c r="C100" s="317"/>
      <c r="D100" s="318"/>
      <c r="E100" s="320"/>
      <c r="F100" s="318"/>
      <c r="G100" s="407"/>
      <c r="H100" s="75"/>
      <c r="I100" s="412"/>
      <c r="J100" s="419"/>
      <c r="K100" s="75"/>
      <c r="L100" s="75"/>
      <c r="M100" s="75"/>
      <c r="N100" s="75"/>
      <c r="O100" s="94">
        <v>8.8000000000000007</v>
      </c>
      <c r="P100" s="63">
        <v>8</v>
      </c>
      <c r="R100" s="79" t="s">
        <v>2048</v>
      </c>
      <c r="S100" s="80" t="s">
        <v>61</v>
      </c>
      <c r="T100" s="81" t="s">
        <v>44</v>
      </c>
      <c r="U100" s="78" t="s">
        <v>174</v>
      </c>
      <c r="V100" s="78" t="s">
        <v>175</v>
      </c>
      <c r="W100" s="87" t="s">
        <v>1966</v>
      </c>
      <c r="X100" s="87" t="s">
        <v>104</v>
      </c>
    </row>
    <row r="101" spans="1:24" ht="25.5">
      <c r="A101" s="74" t="s">
        <v>173</v>
      </c>
      <c r="B101" s="315"/>
      <c r="C101" s="317">
        <v>10</v>
      </c>
      <c r="D101" s="318"/>
      <c r="E101" s="320"/>
      <c r="F101" s="318"/>
      <c r="G101" s="407"/>
      <c r="H101" s="75"/>
      <c r="I101" s="412"/>
      <c r="J101" s="419"/>
      <c r="K101" s="75"/>
      <c r="L101" s="75"/>
      <c r="M101" s="75"/>
      <c r="N101" s="75"/>
      <c r="O101" s="94">
        <v>8.8000000000000007</v>
      </c>
      <c r="P101" s="63">
        <v>8</v>
      </c>
      <c r="R101" s="79" t="s">
        <v>2048</v>
      </c>
      <c r="S101" s="80" t="s">
        <v>61</v>
      </c>
      <c r="T101" s="81" t="s">
        <v>44</v>
      </c>
      <c r="U101" s="78" t="s">
        <v>174</v>
      </c>
      <c r="V101" s="78" t="s">
        <v>175</v>
      </c>
      <c r="W101" s="87" t="s">
        <v>1966</v>
      </c>
      <c r="X101" s="87" t="s">
        <v>104</v>
      </c>
    </row>
    <row r="102" spans="1:24" ht="25.5">
      <c r="A102" s="74" t="s">
        <v>173</v>
      </c>
      <c r="B102" s="315"/>
      <c r="C102" s="317"/>
      <c r="D102" s="318"/>
      <c r="E102" s="320">
        <v>19</v>
      </c>
      <c r="F102" s="318"/>
      <c r="G102" s="407"/>
      <c r="H102" s="75"/>
      <c r="I102" s="412"/>
      <c r="J102" s="419"/>
      <c r="K102" s="75"/>
      <c r="L102" s="75"/>
      <c r="M102" s="75"/>
      <c r="N102" s="75"/>
      <c r="O102" s="94">
        <v>8.8000000000000007</v>
      </c>
      <c r="P102" s="63">
        <v>8</v>
      </c>
      <c r="R102" s="79" t="s">
        <v>2048</v>
      </c>
      <c r="S102" s="80" t="s">
        <v>61</v>
      </c>
      <c r="T102" s="81" t="s">
        <v>44</v>
      </c>
      <c r="U102" s="78" t="s">
        <v>174</v>
      </c>
      <c r="V102" s="78" t="s">
        <v>175</v>
      </c>
      <c r="W102" s="87" t="s">
        <v>1966</v>
      </c>
      <c r="X102" s="87" t="s">
        <v>104</v>
      </c>
    </row>
    <row r="103" spans="1:24" ht="25.5">
      <c r="A103" s="74" t="s">
        <v>173</v>
      </c>
      <c r="B103" s="315"/>
      <c r="C103" s="317"/>
      <c r="D103" s="318"/>
      <c r="E103" s="320"/>
      <c r="F103" s="318"/>
      <c r="G103" s="407"/>
      <c r="H103" s="75"/>
      <c r="I103" s="412"/>
      <c r="J103" s="419"/>
      <c r="K103" s="75"/>
      <c r="L103" s="75"/>
      <c r="M103" s="75"/>
      <c r="N103" s="75"/>
      <c r="O103" s="94">
        <v>8.8000000000000007</v>
      </c>
      <c r="P103" s="63">
        <v>8</v>
      </c>
      <c r="R103" s="79" t="s">
        <v>2048</v>
      </c>
      <c r="S103" s="80" t="s">
        <v>61</v>
      </c>
      <c r="T103" s="81" t="s">
        <v>44</v>
      </c>
      <c r="U103" s="78" t="s">
        <v>174</v>
      </c>
      <c r="V103" s="78" t="s">
        <v>175</v>
      </c>
      <c r="W103" s="87" t="s">
        <v>1966</v>
      </c>
      <c r="X103" s="87" t="s">
        <v>104</v>
      </c>
    </row>
    <row r="104" spans="1:24" ht="25.5">
      <c r="A104" s="93" t="s">
        <v>176</v>
      </c>
      <c r="B104" s="315"/>
      <c r="C104" s="317"/>
      <c r="D104" s="318"/>
      <c r="E104" s="320">
        <v>20</v>
      </c>
      <c r="F104" s="318"/>
      <c r="G104" s="407"/>
      <c r="H104" s="75"/>
      <c r="I104" s="412"/>
      <c r="J104" s="419"/>
      <c r="K104" s="75"/>
      <c r="L104" s="75"/>
      <c r="M104" s="75"/>
      <c r="N104" s="75"/>
      <c r="O104" s="94">
        <v>5</v>
      </c>
      <c r="R104" s="79" t="s">
        <v>2048</v>
      </c>
      <c r="S104" s="80" t="s">
        <v>61</v>
      </c>
      <c r="T104" s="81" t="s">
        <v>46</v>
      </c>
      <c r="U104" s="78" t="s">
        <v>177</v>
      </c>
      <c r="V104" s="78"/>
      <c r="W104" s="87" t="s">
        <v>1966</v>
      </c>
      <c r="X104" s="87" t="s">
        <v>104</v>
      </c>
    </row>
    <row r="105" spans="1:24" ht="25.5">
      <c r="A105" s="93" t="s">
        <v>176</v>
      </c>
      <c r="B105" s="315"/>
      <c r="C105" s="317"/>
      <c r="D105" s="318"/>
      <c r="E105" s="320"/>
      <c r="F105" s="318"/>
      <c r="G105" s="407"/>
      <c r="H105" s="75"/>
      <c r="I105" s="412"/>
      <c r="J105" s="419"/>
      <c r="K105" s="75"/>
      <c r="L105" s="75"/>
      <c r="M105" s="75"/>
      <c r="N105" s="75"/>
      <c r="O105" s="94">
        <v>5</v>
      </c>
      <c r="R105" s="79" t="s">
        <v>2048</v>
      </c>
      <c r="S105" s="80" t="s">
        <v>61</v>
      </c>
      <c r="T105" s="81" t="s">
        <v>46</v>
      </c>
      <c r="U105" s="78" t="s">
        <v>177</v>
      </c>
      <c r="V105" s="78"/>
      <c r="W105" s="87" t="s">
        <v>1966</v>
      </c>
      <c r="X105" s="87" t="s">
        <v>104</v>
      </c>
    </row>
    <row r="106" spans="1:24" ht="25.5">
      <c r="A106" s="93" t="s">
        <v>176</v>
      </c>
      <c r="B106" s="315"/>
      <c r="C106" s="317"/>
      <c r="D106" s="318"/>
      <c r="E106" s="320"/>
      <c r="F106" s="318"/>
      <c r="G106" s="407"/>
      <c r="H106" s="75"/>
      <c r="I106" s="412"/>
      <c r="J106" s="419"/>
      <c r="K106" s="75"/>
      <c r="L106" s="75"/>
      <c r="M106" s="75"/>
      <c r="N106" s="75"/>
      <c r="O106" s="94">
        <v>5</v>
      </c>
      <c r="R106" s="79" t="s">
        <v>2048</v>
      </c>
      <c r="S106" s="80" t="s">
        <v>61</v>
      </c>
      <c r="T106" s="81" t="s">
        <v>46</v>
      </c>
      <c r="U106" s="78" t="s">
        <v>177</v>
      </c>
      <c r="V106" s="78"/>
      <c r="W106" s="87" t="s">
        <v>1966</v>
      </c>
      <c r="X106" s="87" t="s">
        <v>104</v>
      </c>
    </row>
    <row r="107" spans="1:24" ht="25.5">
      <c r="A107" s="93" t="s">
        <v>176</v>
      </c>
      <c r="B107" s="315"/>
      <c r="C107" s="317"/>
      <c r="D107" s="318"/>
      <c r="E107" s="320"/>
      <c r="F107" s="318"/>
      <c r="G107" s="407"/>
      <c r="H107" s="75"/>
      <c r="I107" s="412"/>
      <c r="J107" s="419"/>
      <c r="K107" s="75"/>
      <c r="L107" s="75"/>
      <c r="M107" s="75"/>
      <c r="N107" s="75"/>
      <c r="O107" s="94">
        <v>5</v>
      </c>
      <c r="R107" s="79" t="s">
        <v>2048</v>
      </c>
      <c r="S107" s="80" t="s">
        <v>61</v>
      </c>
      <c r="T107" s="81" t="s">
        <v>46</v>
      </c>
      <c r="U107" s="78" t="s">
        <v>177</v>
      </c>
      <c r="V107" s="78"/>
      <c r="W107" s="87" t="s">
        <v>1966</v>
      </c>
      <c r="X107" s="87" t="s">
        <v>104</v>
      </c>
    </row>
    <row r="108" spans="1:24" ht="25.5">
      <c r="A108" s="91" t="s">
        <v>178</v>
      </c>
      <c r="B108" s="315"/>
      <c r="C108" s="317"/>
      <c r="D108" s="318"/>
      <c r="E108" s="320"/>
      <c r="F108" s="318"/>
      <c r="G108" s="407"/>
      <c r="H108" s="75"/>
      <c r="I108" s="412"/>
      <c r="J108" s="419"/>
      <c r="K108" s="75"/>
      <c r="L108" s="75"/>
      <c r="M108" s="75"/>
      <c r="N108" s="75"/>
      <c r="O108" s="94">
        <v>9</v>
      </c>
      <c r="P108" s="63">
        <v>6</v>
      </c>
      <c r="R108" s="79" t="s">
        <v>2048</v>
      </c>
      <c r="S108" s="80" t="s">
        <v>63</v>
      </c>
      <c r="T108" s="81" t="s">
        <v>43</v>
      </c>
      <c r="U108" s="78" t="s">
        <v>179</v>
      </c>
      <c r="V108" s="78" t="s">
        <v>180</v>
      </c>
      <c r="W108" s="87" t="s">
        <v>1966</v>
      </c>
      <c r="X108" s="87" t="s">
        <v>104</v>
      </c>
    </row>
    <row r="109" spans="1:24" ht="25.5">
      <c r="A109" s="91" t="s">
        <v>178</v>
      </c>
      <c r="B109" s="315"/>
      <c r="C109" s="317">
        <v>11</v>
      </c>
      <c r="D109" s="318"/>
      <c r="E109" s="320"/>
      <c r="F109" s="318"/>
      <c r="G109" s="407"/>
      <c r="H109" s="75"/>
      <c r="I109" s="412"/>
      <c r="J109" s="419"/>
      <c r="K109" s="75"/>
      <c r="L109" s="75"/>
      <c r="M109" s="75"/>
      <c r="N109" s="75"/>
      <c r="O109" s="94">
        <v>9</v>
      </c>
      <c r="P109" s="63">
        <v>6</v>
      </c>
      <c r="R109" s="79" t="s">
        <v>2048</v>
      </c>
      <c r="S109" s="80" t="s">
        <v>63</v>
      </c>
      <c r="T109" s="81" t="s">
        <v>43</v>
      </c>
      <c r="U109" s="78" t="s">
        <v>179</v>
      </c>
      <c r="V109" s="78" t="s">
        <v>180</v>
      </c>
      <c r="W109" s="87" t="s">
        <v>1966</v>
      </c>
      <c r="X109" s="87" t="s">
        <v>104</v>
      </c>
    </row>
    <row r="110" spans="1:24" ht="25.5">
      <c r="A110" s="91" t="s">
        <v>178</v>
      </c>
      <c r="B110" s="315"/>
      <c r="C110" s="317"/>
      <c r="D110" s="318"/>
      <c r="E110" s="320">
        <v>21</v>
      </c>
      <c r="F110" s="318"/>
      <c r="G110" s="407"/>
      <c r="H110" s="75"/>
      <c r="I110" s="412"/>
      <c r="J110" s="419"/>
      <c r="K110" s="75"/>
      <c r="L110" s="75"/>
      <c r="M110" s="75"/>
      <c r="N110" s="75"/>
      <c r="O110" s="94">
        <v>9</v>
      </c>
      <c r="P110" s="63">
        <v>6</v>
      </c>
      <c r="R110" s="79" t="s">
        <v>2048</v>
      </c>
      <c r="S110" s="80" t="s">
        <v>63</v>
      </c>
      <c r="T110" s="81" t="s">
        <v>43</v>
      </c>
      <c r="U110" s="78" t="s">
        <v>179</v>
      </c>
      <c r="V110" s="78" t="s">
        <v>180</v>
      </c>
      <c r="W110" s="87" t="s">
        <v>1966</v>
      </c>
      <c r="X110" s="87" t="s">
        <v>104</v>
      </c>
    </row>
    <row r="111" spans="1:24" ht="25.5">
      <c r="A111" s="91" t="s">
        <v>178</v>
      </c>
      <c r="B111" s="315"/>
      <c r="C111" s="317"/>
      <c r="D111" s="318"/>
      <c r="E111" s="320"/>
      <c r="F111" s="318"/>
      <c r="G111" s="407"/>
      <c r="H111" s="75"/>
      <c r="I111" s="412"/>
      <c r="J111" s="419"/>
      <c r="K111" s="75"/>
      <c r="L111" s="75"/>
      <c r="M111" s="75"/>
      <c r="N111" s="75"/>
      <c r="O111" s="94">
        <v>9</v>
      </c>
      <c r="P111" s="63">
        <v>6</v>
      </c>
      <c r="R111" s="79" t="s">
        <v>2048</v>
      </c>
      <c r="S111" s="80" t="s">
        <v>63</v>
      </c>
      <c r="T111" s="81" t="s">
        <v>43</v>
      </c>
      <c r="U111" s="78" t="s">
        <v>179</v>
      </c>
      <c r="V111" s="78" t="s">
        <v>180</v>
      </c>
      <c r="W111" s="87" t="s">
        <v>1966</v>
      </c>
      <c r="X111" s="87" t="s">
        <v>104</v>
      </c>
    </row>
    <row r="112" spans="1:24">
      <c r="A112" s="93" t="s">
        <v>181</v>
      </c>
      <c r="B112" s="315">
        <v>3</v>
      </c>
      <c r="C112" s="317"/>
      <c r="D112" s="318"/>
      <c r="E112" s="320"/>
      <c r="F112" s="318"/>
      <c r="G112" s="407"/>
      <c r="H112" s="75"/>
      <c r="I112" s="412"/>
      <c r="J112" s="419"/>
      <c r="K112" s="75"/>
      <c r="L112" s="75"/>
      <c r="M112" s="75"/>
      <c r="N112" s="75"/>
      <c r="O112" s="94">
        <v>4.7</v>
      </c>
      <c r="R112" s="79" t="s">
        <v>2048</v>
      </c>
      <c r="S112" s="80" t="s">
        <v>45</v>
      </c>
      <c r="T112" s="81" t="s">
        <v>43</v>
      </c>
      <c r="U112" s="78" t="s">
        <v>182</v>
      </c>
      <c r="V112" s="78"/>
      <c r="W112" s="87" t="s">
        <v>1966</v>
      </c>
      <c r="X112" s="87" t="s">
        <v>104</v>
      </c>
    </row>
    <row r="113" spans="1:24">
      <c r="A113" s="93" t="s">
        <v>181</v>
      </c>
      <c r="B113" s="315"/>
      <c r="C113" s="317">
        <v>12</v>
      </c>
      <c r="D113" s="318"/>
      <c r="E113" s="320"/>
      <c r="F113" s="318"/>
      <c r="G113" s="407"/>
      <c r="H113" s="75"/>
      <c r="I113" s="412"/>
      <c r="J113" s="419"/>
      <c r="K113" s="75"/>
      <c r="L113" s="75"/>
      <c r="M113" s="75"/>
      <c r="N113" s="75"/>
      <c r="O113" s="94">
        <v>4.7</v>
      </c>
      <c r="R113" s="79" t="s">
        <v>2048</v>
      </c>
      <c r="S113" s="80" t="s">
        <v>45</v>
      </c>
      <c r="T113" s="81" t="s">
        <v>43</v>
      </c>
      <c r="U113" s="78" t="s">
        <v>182</v>
      </c>
      <c r="V113" s="78"/>
      <c r="W113" s="87" t="s">
        <v>1966</v>
      </c>
      <c r="X113" s="87" t="s">
        <v>104</v>
      </c>
    </row>
    <row r="114" spans="1:24">
      <c r="A114" s="93" t="s">
        <v>181</v>
      </c>
      <c r="B114" s="315"/>
      <c r="C114" s="317"/>
      <c r="D114" s="318"/>
      <c r="E114" s="320">
        <v>24</v>
      </c>
      <c r="F114" s="318"/>
      <c r="G114" s="407"/>
      <c r="H114" s="75"/>
      <c r="I114" s="412"/>
      <c r="J114" s="419"/>
      <c r="K114" s="75"/>
      <c r="L114" s="75"/>
      <c r="M114" s="75"/>
      <c r="N114" s="75"/>
      <c r="O114" s="94">
        <v>4.7</v>
      </c>
      <c r="R114" s="79" t="s">
        <v>2048</v>
      </c>
      <c r="S114" s="80" t="s">
        <v>45</v>
      </c>
      <c r="T114" s="81" t="s">
        <v>43</v>
      </c>
      <c r="U114" s="78" t="s">
        <v>182</v>
      </c>
      <c r="V114" s="78"/>
      <c r="W114" s="87" t="s">
        <v>1966</v>
      </c>
      <c r="X114" s="87" t="s">
        <v>104</v>
      </c>
    </row>
    <row r="115" spans="1:24">
      <c r="A115" s="93" t="s">
        <v>181</v>
      </c>
      <c r="B115" s="315"/>
      <c r="C115" s="317"/>
      <c r="D115" s="318"/>
      <c r="E115" s="320"/>
      <c r="F115" s="318"/>
      <c r="G115" s="407"/>
      <c r="H115" s="75"/>
      <c r="I115" s="412"/>
      <c r="J115" s="419"/>
      <c r="K115" s="75"/>
      <c r="L115" s="75"/>
      <c r="M115" s="75"/>
      <c r="N115" s="75"/>
      <c r="O115" s="94">
        <v>4.7</v>
      </c>
      <c r="R115" s="79" t="s">
        <v>2048</v>
      </c>
      <c r="S115" s="80" t="s">
        <v>45</v>
      </c>
      <c r="T115" s="81" t="s">
        <v>43</v>
      </c>
      <c r="U115" s="78" t="s">
        <v>182</v>
      </c>
      <c r="V115" s="78"/>
      <c r="W115" s="87" t="s">
        <v>1966</v>
      </c>
      <c r="X115" s="87" t="s">
        <v>104</v>
      </c>
    </row>
    <row r="116" spans="1:24">
      <c r="A116" s="91" t="s">
        <v>183</v>
      </c>
      <c r="B116" s="315">
        <v>4</v>
      </c>
      <c r="C116" s="317"/>
      <c r="D116" s="318"/>
      <c r="E116" s="320"/>
      <c r="F116" s="318"/>
      <c r="G116" s="407"/>
      <c r="H116" s="75"/>
      <c r="I116" s="412"/>
      <c r="J116" s="419"/>
      <c r="K116" s="75"/>
      <c r="L116" s="75"/>
      <c r="M116" s="75"/>
      <c r="N116" s="75"/>
      <c r="O116" s="94">
        <v>7</v>
      </c>
      <c r="P116" s="63">
        <v>2</v>
      </c>
      <c r="R116" s="79" t="s">
        <v>2048</v>
      </c>
      <c r="S116" s="80" t="s">
        <v>45</v>
      </c>
      <c r="T116" s="81" t="s">
        <v>43</v>
      </c>
      <c r="U116" s="78" t="s">
        <v>184</v>
      </c>
      <c r="V116" s="78" t="s">
        <v>185</v>
      </c>
      <c r="W116" s="87" t="s">
        <v>1966</v>
      </c>
      <c r="X116" s="87" t="s">
        <v>104</v>
      </c>
    </row>
    <row r="117" spans="1:24">
      <c r="A117" s="91" t="s">
        <v>183</v>
      </c>
      <c r="B117" s="315"/>
      <c r="C117" s="317">
        <v>13</v>
      </c>
      <c r="D117" s="318"/>
      <c r="E117" s="320"/>
      <c r="F117" s="318"/>
      <c r="G117" s="407"/>
      <c r="H117" s="75"/>
      <c r="I117" s="412"/>
      <c r="J117" s="419"/>
      <c r="K117" s="75"/>
      <c r="L117" s="75"/>
      <c r="M117" s="75"/>
      <c r="N117" s="75"/>
      <c r="O117" s="94">
        <v>7</v>
      </c>
      <c r="P117" s="63">
        <v>2</v>
      </c>
      <c r="R117" s="79" t="s">
        <v>2048</v>
      </c>
      <c r="S117" s="80" t="s">
        <v>45</v>
      </c>
      <c r="T117" s="81" t="s">
        <v>43</v>
      </c>
      <c r="U117" s="78" t="s">
        <v>184</v>
      </c>
      <c r="V117" s="78" t="s">
        <v>185</v>
      </c>
      <c r="W117" s="87" t="s">
        <v>1966</v>
      </c>
      <c r="X117" s="87" t="s">
        <v>104</v>
      </c>
    </row>
    <row r="118" spans="1:24">
      <c r="A118" s="91" t="s">
        <v>183</v>
      </c>
      <c r="B118" s="315"/>
      <c r="C118" s="317"/>
      <c r="D118" s="318"/>
      <c r="E118" s="320">
        <v>25</v>
      </c>
      <c r="F118" s="318"/>
      <c r="G118" s="407"/>
      <c r="H118" s="75"/>
      <c r="I118" s="412"/>
      <c r="J118" s="419"/>
      <c r="K118" s="75"/>
      <c r="L118" s="75"/>
      <c r="M118" s="75"/>
      <c r="N118" s="75"/>
      <c r="O118" s="94">
        <v>7</v>
      </c>
      <c r="P118" s="63">
        <v>2</v>
      </c>
      <c r="R118" s="79" t="s">
        <v>2048</v>
      </c>
      <c r="S118" s="80" t="s">
        <v>45</v>
      </c>
      <c r="T118" s="81" t="s">
        <v>43</v>
      </c>
      <c r="U118" s="78" t="s">
        <v>184</v>
      </c>
      <c r="V118" s="78" t="s">
        <v>185</v>
      </c>
      <c r="W118" s="87" t="s">
        <v>1966</v>
      </c>
      <c r="X118" s="87" t="s">
        <v>104</v>
      </c>
    </row>
    <row r="119" spans="1:24">
      <c r="A119" s="91" t="s">
        <v>183</v>
      </c>
      <c r="B119" s="315"/>
      <c r="C119" s="317"/>
      <c r="D119" s="318"/>
      <c r="E119" s="320"/>
      <c r="F119" s="318"/>
      <c r="G119" s="407"/>
      <c r="H119" s="75"/>
      <c r="I119" s="412"/>
      <c r="J119" s="419"/>
      <c r="K119" s="75"/>
      <c r="L119" s="75"/>
      <c r="M119" s="75"/>
      <c r="N119" s="75"/>
      <c r="O119" s="94">
        <v>7</v>
      </c>
      <c r="P119" s="63">
        <v>2</v>
      </c>
      <c r="R119" s="79" t="s">
        <v>2048</v>
      </c>
      <c r="S119" s="80" t="s">
        <v>45</v>
      </c>
      <c r="T119" s="81" t="s">
        <v>43</v>
      </c>
      <c r="U119" s="78" t="s">
        <v>184</v>
      </c>
      <c r="V119" s="78" t="s">
        <v>185</v>
      </c>
      <c r="W119" s="87" t="s">
        <v>1966</v>
      </c>
      <c r="X119" s="87" t="s">
        <v>104</v>
      </c>
    </row>
    <row r="120" spans="1:24">
      <c r="A120" s="95" t="s">
        <v>186</v>
      </c>
      <c r="B120" s="315">
        <v>7</v>
      </c>
      <c r="C120" s="317"/>
      <c r="D120" s="318"/>
      <c r="E120" s="320"/>
      <c r="F120" s="318"/>
      <c r="G120" s="407"/>
      <c r="H120" s="75"/>
      <c r="I120" s="412"/>
      <c r="J120" s="419"/>
      <c r="K120" s="75"/>
      <c r="L120" s="75"/>
      <c r="M120" s="75"/>
      <c r="N120" s="75"/>
      <c r="O120" s="94">
        <v>8.1999999999999993</v>
      </c>
      <c r="P120" s="63">
        <v>4</v>
      </c>
      <c r="R120" s="79" t="s">
        <v>2048</v>
      </c>
      <c r="S120" s="80" t="s">
        <v>56</v>
      </c>
      <c r="T120" s="81" t="s">
        <v>47</v>
      </c>
      <c r="U120" s="78" t="s">
        <v>187</v>
      </c>
      <c r="V120" s="78" t="s">
        <v>188</v>
      </c>
      <c r="W120" s="87" t="s">
        <v>1966</v>
      </c>
      <c r="X120" s="87" t="s">
        <v>104</v>
      </c>
    </row>
    <row r="121" spans="1:24">
      <c r="A121" s="95" t="s">
        <v>186</v>
      </c>
      <c r="B121" s="315"/>
      <c r="C121" s="317"/>
      <c r="D121" s="318"/>
      <c r="E121" s="320"/>
      <c r="F121" s="318"/>
      <c r="G121" s="407"/>
      <c r="H121" s="75">
        <v>19</v>
      </c>
      <c r="I121" s="412"/>
      <c r="J121" s="419"/>
      <c r="K121" s="75"/>
      <c r="L121" s="75"/>
      <c r="M121" s="75"/>
      <c r="N121" s="75"/>
      <c r="O121" s="94">
        <v>8.1999999999999993</v>
      </c>
      <c r="P121" s="63">
        <v>4</v>
      </c>
      <c r="R121" s="79" t="s">
        <v>2048</v>
      </c>
      <c r="S121" s="80" t="s">
        <v>56</v>
      </c>
      <c r="T121" s="81" t="s">
        <v>47</v>
      </c>
      <c r="U121" s="78" t="s">
        <v>187</v>
      </c>
      <c r="V121" s="78" t="s">
        <v>188</v>
      </c>
      <c r="W121" s="87" t="s">
        <v>1966</v>
      </c>
      <c r="X121" s="87" t="s">
        <v>104</v>
      </c>
    </row>
    <row r="122" spans="1:24">
      <c r="A122" s="95" t="s">
        <v>186</v>
      </c>
      <c r="B122" s="315"/>
      <c r="C122" s="317"/>
      <c r="D122" s="318"/>
      <c r="E122" s="320"/>
      <c r="F122" s="318"/>
      <c r="G122" s="407"/>
      <c r="H122" s="75"/>
      <c r="I122" s="412"/>
      <c r="J122" s="419"/>
      <c r="K122" s="75"/>
      <c r="L122" s="75"/>
      <c r="M122" s="75"/>
      <c r="N122" s="75"/>
      <c r="O122" s="94">
        <v>8.1999999999999993</v>
      </c>
      <c r="P122" s="63">
        <v>4</v>
      </c>
      <c r="R122" s="79" t="s">
        <v>2048</v>
      </c>
      <c r="S122" s="80" t="s">
        <v>56</v>
      </c>
      <c r="T122" s="81" t="s">
        <v>47</v>
      </c>
      <c r="U122" s="78" t="s">
        <v>187</v>
      </c>
      <c r="V122" s="78" t="s">
        <v>188</v>
      </c>
      <c r="W122" s="87" t="s">
        <v>1966</v>
      </c>
      <c r="X122" s="87" t="s">
        <v>104</v>
      </c>
    </row>
    <row r="123" spans="1:24">
      <c r="A123" s="95" t="s">
        <v>186</v>
      </c>
      <c r="B123" s="315"/>
      <c r="C123" s="317"/>
      <c r="D123" s="318"/>
      <c r="E123" s="320"/>
      <c r="F123" s="318"/>
      <c r="G123" s="407"/>
      <c r="H123" s="75"/>
      <c r="I123" s="412"/>
      <c r="J123" s="419"/>
      <c r="K123" s="75"/>
      <c r="L123" s="75"/>
      <c r="M123" s="75"/>
      <c r="N123" s="75"/>
      <c r="O123" s="94">
        <v>8.1999999999999993</v>
      </c>
      <c r="P123" s="63">
        <v>4</v>
      </c>
      <c r="R123" s="79" t="s">
        <v>2048</v>
      </c>
      <c r="S123" s="80" t="s">
        <v>56</v>
      </c>
      <c r="T123" s="81" t="s">
        <v>47</v>
      </c>
      <c r="U123" s="78" t="s">
        <v>187</v>
      </c>
      <c r="V123" s="78" t="s">
        <v>188</v>
      </c>
      <c r="W123" s="87" t="s">
        <v>1966</v>
      </c>
      <c r="X123" s="87" t="s">
        <v>104</v>
      </c>
    </row>
    <row r="124" spans="1:24">
      <c r="A124" s="96" t="s">
        <v>189</v>
      </c>
      <c r="B124" s="315">
        <v>10</v>
      </c>
      <c r="C124" s="317"/>
      <c r="D124" s="318"/>
      <c r="E124" s="320"/>
      <c r="F124" s="318"/>
      <c r="G124" s="407"/>
      <c r="H124" s="75"/>
      <c r="I124" s="412"/>
      <c r="J124" s="419"/>
      <c r="K124" s="75"/>
      <c r="L124" s="75"/>
      <c r="M124" s="75"/>
      <c r="N124" s="75"/>
      <c r="O124" s="94">
        <v>8</v>
      </c>
      <c r="P124" s="63">
        <v>1</v>
      </c>
      <c r="R124" s="79" t="s">
        <v>2048</v>
      </c>
      <c r="S124" s="80" t="s">
        <v>56</v>
      </c>
      <c r="T124" s="81" t="s">
        <v>47</v>
      </c>
      <c r="U124" s="78" t="s">
        <v>190</v>
      </c>
      <c r="V124" s="78" t="s">
        <v>191</v>
      </c>
      <c r="W124" s="87" t="s">
        <v>1966</v>
      </c>
      <c r="X124" s="87" t="s">
        <v>104</v>
      </c>
    </row>
    <row r="125" spans="1:24">
      <c r="A125" s="96" t="s">
        <v>189</v>
      </c>
      <c r="B125" s="315"/>
      <c r="C125" s="317"/>
      <c r="D125" s="318"/>
      <c r="E125" s="320"/>
      <c r="F125" s="318"/>
      <c r="G125" s="407"/>
      <c r="H125" s="75">
        <v>20</v>
      </c>
      <c r="I125" s="412"/>
      <c r="J125" s="419"/>
      <c r="K125" s="75"/>
      <c r="L125" s="75"/>
      <c r="M125" s="75"/>
      <c r="N125" s="75"/>
      <c r="O125" s="94">
        <v>8</v>
      </c>
      <c r="P125" s="63">
        <v>1</v>
      </c>
      <c r="R125" s="79" t="s">
        <v>2048</v>
      </c>
      <c r="S125" s="80" t="s">
        <v>56</v>
      </c>
      <c r="T125" s="81" t="s">
        <v>47</v>
      </c>
      <c r="U125" s="78" t="s">
        <v>190</v>
      </c>
      <c r="V125" s="78" t="s">
        <v>191</v>
      </c>
      <c r="W125" s="87" t="s">
        <v>1966</v>
      </c>
      <c r="X125" s="87" t="s">
        <v>104</v>
      </c>
    </row>
    <row r="126" spans="1:24">
      <c r="A126" s="96" t="s">
        <v>189</v>
      </c>
      <c r="B126" s="315"/>
      <c r="C126" s="317"/>
      <c r="D126" s="318"/>
      <c r="E126" s="320"/>
      <c r="F126" s="318"/>
      <c r="G126" s="407"/>
      <c r="H126" s="75"/>
      <c r="I126" s="412"/>
      <c r="J126" s="419"/>
      <c r="K126" s="75"/>
      <c r="L126" s="75"/>
      <c r="M126" s="75"/>
      <c r="N126" s="75"/>
      <c r="O126" s="94">
        <v>8</v>
      </c>
      <c r="P126" s="63">
        <v>1</v>
      </c>
      <c r="R126" s="79" t="s">
        <v>2048</v>
      </c>
      <c r="S126" s="80" t="s">
        <v>56</v>
      </c>
      <c r="T126" s="81" t="s">
        <v>47</v>
      </c>
      <c r="U126" s="78" t="s">
        <v>190</v>
      </c>
      <c r="V126" s="78" t="s">
        <v>191</v>
      </c>
      <c r="W126" s="87" t="s">
        <v>1966</v>
      </c>
      <c r="X126" s="87" t="s">
        <v>104</v>
      </c>
    </row>
    <row r="127" spans="1:24">
      <c r="A127" s="96" t="s">
        <v>189</v>
      </c>
      <c r="B127" s="315"/>
      <c r="C127" s="317"/>
      <c r="D127" s="318"/>
      <c r="E127" s="320"/>
      <c r="F127" s="318"/>
      <c r="G127" s="407"/>
      <c r="H127" s="75"/>
      <c r="I127" s="412"/>
      <c r="J127" s="419"/>
      <c r="K127" s="75"/>
      <c r="L127" s="75"/>
      <c r="M127" s="75"/>
      <c r="N127" s="75"/>
      <c r="O127" s="94">
        <v>8</v>
      </c>
      <c r="P127" s="63">
        <v>1</v>
      </c>
      <c r="R127" s="79" t="s">
        <v>2048</v>
      </c>
      <c r="S127" s="80" t="s">
        <v>56</v>
      </c>
      <c r="T127" s="81" t="s">
        <v>47</v>
      </c>
      <c r="U127" s="78" t="s">
        <v>190</v>
      </c>
      <c r="V127" s="78" t="s">
        <v>191</v>
      </c>
      <c r="W127" s="87" t="s">
        <v>1966</v>
      </c>
      <c r="X127" s="87" t="s">
        <v>104</v>
      </c>
    </row>
    <row r="128" spans="1:24" ht="25.5">
      <c r="A128" s="86" t="s">
        <v>192</v>
      </c>
      <c r="B128" s="315"/>
      <c r="C128" s="317"/>
      <c r="D128" s="318"/>
      <c r="E128" s="320"/>
      <c r="F128" s="318"/>
      <c r="G128" s="407"/>
      <c r="H128" s="75"/>
      <c r="I128" s="412"/>
      <c r="J128" s="419"/>
      <c r="K128" s="75"/>
      <c r="L128" s="75"/>
      <c r="M128" s="75"/>
      <c r="N128" s="75"/>
      <c r="O128" s="94">
        <v>8.3000000000000007</v>
      </c>
      <c r="P128" s="63">
        <v>8</v>
      </c>
      <c r="R128" s="79" t="s">
        <v>2047</v>
      </c>
      <c r="S128" s="80" t="s">
        <v>50</v>
      </c>
      <c r="T128" s="81" t="s">
        <v>1952</v>
      </c>
      <c r="U128" s="78" t="s">
        <v>193</v>
      </c>
      <c r="V128" s="78" t="s">
        <v>194</v>
      </c>
      <c r="W128" s="87" t="s">
        <v>1965</v>
      </c>
      <c r="X128" s="87" t="s">
        <v>104</v>
      </c>
    </row>
    <row r="129" spans="1:24" ht="25.5">
      <c r="A129" s="86" t="s">
        <v>195</v>
      </c>
      <c r="B129" s="315">
        <v>11</v>
      </c>
      <c r="C129" s="317"/>
      <c r="D129" s="318"/>
      <c r="E129" s="320"/>
      <c r="F129" s="318"/>
      <c r="G129" s="407"/>
      <c r="H129" s="75"/>
      <c r="I129" s="412"/>
      <c r="J129" s="419"/>
      <c r="K129" s="75"/>
      <c r="L129" s="75"/>
      <c r="M129" s="75"/>
      <c r="N129" s="75"/>
      <c r="O129" s="94">
        <v>8.1</v>
      </c>
      <c r="P129" s="63">
        <v>9</v>
      </c>
      <c r="R129" s="79" t="s">
        <v>2047</v>
      </c>
      <c r="S129" s="80" t="s">
        <v>50</v>
      </c>
      <c r="T129" s="81" t="s">
        <v>1953</v>
      </c>
      <c r="U129" s="78" t="s">
        <v>193</v>
      </c>
      <c r="V129" s="78" t="s">
        <v>196</v>
      </c>
      <c r="W129" s="87" t="s">
        <v>1965</v>
      </c>
      <c r="X129" s="87" t="s">
        <v>104</v>
      </c>
    </row>
    <row r="130" spans="1:24" ht="25.5">
      <c r="A130" s="86" t="s">
        <v>197</v>
      </c>
      <c r="B130" s="315"/>
      <c r="C130" s="317"/>
      <c r="D130" s="318"/>
      <c r="E130" s="320"/>
      <c r="F130" s="318"/>
      <c r="G130" s="407"/>
      <c r="H130" s="75"/>
      <c r="I130" s="412">
        <v>21</v>
      </c>
      <c r="J130" s="419"/>
      <c r="K130" s="75"/>
      <c r="L130" s="75"/>
      <c r="M130" s="75"/>
      <c r="N130" s="75"/>
      <c r="O130" s="94">
        <v>8.1</v>
      </c>
      <c r="P130" s="63">
        <v>10</v>
      </c>
      <c r="R130" s="79" t="s">
        <v>2047</v>
      </c>
      <c r="S130" s="80" t="s">
        <v>50</v>
      </c>
      <c r="T130" s="81" t="s">
        <v>1954</v>
      </c>
      <c r="U130" s="78" t="s">
        <v>193</v>
      </c>
      <c r="V130" s="78" t="s">
        <v>198</v>
      </c>
      <c r="W130" s="87" t="s">
        <v>1965</v>
      </c>
      <c r="X130" s="87" t="s">
        <v>104</v>
      </c>
    </row>
    <row r="131" spans="1:24" ht="25.5">
      <c r="A131" s="86" t="s">
        <v>199</v>
      </c>
      <c r="B131" s="315"/>
      <c r="C131" s="317"/>
      <c r="D131" s="318"/>
      <c r="E131" s="320"/>
      <c r="F131" s="318"/>
      <c r="G131" s="407"/>
      <c r="H131" s="75"/>
      <c r="I131" s="412"/>
      <c r="J131" s="419"/>
      <c r="K131" s="75"/>
      <c r="L131" s="75"/>
      <c r="M131" s="75"/>
      <c r="N131" s="75"/>
      <c r="O131" s="94">
        <v>8</v>
      </c>
      <c r="P131" s="63">
        <v>8</v>
      </c>
      <c r="R131" s="79" t="s">
        <v>2047</v>
      </c>
      <c r="S131" s="80" t="s">
        <v>50</v>
      </c>
      <c r="T131" s="81" t="s">
        <v>1955</v>
      </c>
      <c r="U131" s="78" t="s">
        <v>193</v>
      </c>
      <c r="V131" s="78" t="s">
        <v>200</v>
      </c>
      <c r="W131" s="87" t="s">
        <v>1965</v>
      </c>
      <c r="X131" s="87" t="s">
        <v>104</v>
      </c>
    </row>
    <row r="132" spans="1:24">
      <c r="A132" s="93" t="s">
        <v>202</v>
      </c>
      <c r="B132" s="315"/>
      <c r="C132" s="317"/>
      <c r="D132" s="318"/>
      <c r="E132" s="320"/>
      <c r="F132" s="318"/>
      <c r="G132" s="407"/>
      <c r="H132" s="75"/>
      <c r="I132" s="412"/>
      <c r="J132" s="419"/>
      <c r="K132" s="75"/>
      <c r="L132" s="75"/>
      <c r="M132" s="75"/>
      <c r="N132" s="75"/>
      <c r="O132" s="94">
        <v>9</v>
      </c>
      <c r="P132" s="63">
        <v>2</v>
      </c>
      <c r="R132" s="79" t="s">
        <v>2047</v>
      </c>
      <c r="S132" s="80" t="s">
        <v>203</v>
      </c>
      <c r="T132" s="81" t="s">
        <v>47</v>
      </c>
      <c r="U132" s="90" t="s">
        <v>204</v>
      </c>
      <c r="V132" s="78" t="s">
        <v>205</v>
      </c>
      <c r="W132" s="87" t="s">
        <v>1965</v>
      </c>
      <c r="X132" s="87" t="s">
        <v>104</v>
      </c>
    </row>
    <row r="133" spans="1:24">
      <c r="A133" s="93" t="s">
        <v>202</v>
      </c>
      <c r="B133" s="315">
        <v>12</v>
      </c>
      <c r="C133" s="317"/>
      <c r="D133" s="318"/>
      <c r="E133" s="320"/>
      <c r="F133" s="318"/>
      <c r="G133" s="407"/>
      <c r="H133" s="75"/>
      <c r="I133" s="412"/>
      <c r="J133" s="419"/>
      <c r="K133" s="75"/>
      <c r="L133" s="75"/>
      <c r="M133" s="75"/>
      <c r="N133" s="75"/>
      <c r="O133" s="94">
        <v>9</v>
      </c>
      <c r="P133" s="63">
        <v>2</v>
      </c>
      <c r="R133" s="79" t="s">
        <v>2047</v>
      </c>
      <c r="S133" s="80" t="s">
        <v>203</v>
      </c>
      <c r="T133" s="81" t="s">
        <v>47</v>
      </c>
      <c r="U133" s="90" t="s">
        <v>204</v>
      </c>
      <c r="V133" s="78" t="s">
        <v>205</v>
      </c>
      <c r="W133" s="87" t="s">
        <v>1965</v>
      </c>
      <c r="X133" s="87" t="s">
        <v>104</v>
      </c>
    </row>
    <row r="134" spans="1:24" ht="25.5">
      <c r="A134" s="93" t="s">
        <v>206</v>
      </c>
      <c r="B134" s="315">
        <v>13</v>
      </c>
      <c r="C134" s="317"/>
      <c r="D134" s="318"/>
      <c r="E134" s="320"/>
      <c r="F134" s="318"/>
      <c r="G134" s="407"/>
      <c r="H134" s="75"/>
      <c r="I134" s="412"/>
      <c r="J134" s="419"/>
      <c r="K134" s="75"/>
      <c r="L134" s="75"/>
      <c r="M134" s="75"/>
      <c r="N134" s="75"/>
      <c r="O134" s="94">
        <v>5</v>
      </c>
      <c r="P134" s="63">
        <v>4</v>
      </c>
      <c r="R134" s="79" t="s">
        <v>2047</v>
      </c>
      <c r="S134" s="80" t="s">
        <v>207</v>
      </c>
      <c r="T134" s="81" t="s">
        <v>1956</v>
      </c>
      <c r="U134" s="78" t="s">
        <v>208</v>
      </c>
      <c r="V134" s="78" t="s">
        <v>209</v>
      </c>
      <c r="W134" s="87" t="s">
        <v>1965</v>
      </c>
      <c r="X134" s="87" t="s">
        <v>104</v>
      </c>
    </row>
    <row r="135" spans="1:24" ht="25.5">
      <c r="A135" s="93" t="s">
        <v>206</v>
      </c>
      <c r="B135" s="315"/>
      <c r="C135" s="317"/>
      <c r="D135" s="318"/>
      <c r="E135" s="320"/>
      <c r="F135" s="318"/>
      <c r="G135" s="407"/>
      <c r="H135" s="75"/>
      <c r="I135" s="412"/>
      <c r="J135" s="419"/>
      <c r="K135" s="75"/>
      <c r="L135" s="75"/>
      <c r="M135" s="75"/>
      <c r="N135" s="75"/>
      <c r="O135" s="94">
        <v>5</v>
      </c>
      <c r="P135" s="63">
        <v>4</v>
      </c>
      <c r="R135" s="79" t="s">
        <v>2047</v>
      </c>
      <c r="S135" s="80" t="s">
        <v>207</v>
      </c>
      <c r="T135" s="81" t="s">
        <v>1956</v>
      </c>
      <c r="U135" s="78" t="s">
        <v>208</v>
      </c>
      <c r="V135" s="78" t="s">
        <v>209</v>
      </c>
      <c r="W135" s="87" t="s">
        <v>1965</v>
      </c>
      <c r="X135" s="87" t="s">
        <v>104</v>
      </c>
    </row>
    <row r="136" spans="1:24">
      <c r="A136" s="86" t="s">
        <v>210</v>
      </c>
      <c r="B136" s="315"/>
      <c r="C136" s="317"/>
      <c r="D136" s="318"/>
      <c r="E136" s="320"/>
      <c r="F136" s="318"/>
      <c r="G136" s="407">
        <v>6</v>
      </c>
      <c r="H136" s="75"/>
      <c r="I136" s="412"/>
      <c r="J136" s="419"/>
      <c r="K136" s="75"/>
      <c r="L136" s="75"/>
      <c r="M136" s="75"/>
      <c r="N136" s="75"/>
      <c r="O136" s="94">
        <v>12</v>
      </c>
      <c r="P136" s="63">
        <v>6</v>
      </c>
      <c r="R136" s="79" t="s">
        <v>2047</v>
      </c>
      <c r="S136" s="80" t="s">
        <v>211</v>
      </c>
      <c r="T136" s="81" t="s">
        <v>47</v>
      </c>
      <c r="U136" s="90" t="s">
        <v>212</v>
      </c>
      <c r="V136" s="78" t="s">
        <v>213</v>
      </c>
      <c r="W136" s="87" t="s">
        <v>1965</v>
      </c>
      <c r="X136" s="87" t="s">
        <v>104</v>
      </c>
    </row>
    <row r="137" spans="1:24">
      <c r="A137" s="86" t="s">
        <v>210</v>
      </c>
      <c r="B137" s="315"/>
      <c r="C137" s="317"/>
      <c r="D137" s="318"/>
      <c r="E137" s="320"/>
      <c r="F137" s="318"/>
      <c r="G137" s="407"/>
      <c r="H137" s="75"/>
      <c r="I137" s="412"/>
      <c r="J137" s="419"/>
      <c r="K137" s="75"/>
      <c r="L137" s="75"/>
      <c r="M137" s="75"/>
      <c r="N137" s="75"/>
      <c r="O137" s="94">
        <v>12</v>
      </c>
      <c r="P137" s="63">
        <v>6</v>
      </c>
      <c r="R137" s="79" t="s">
        <v>2047</v>
      </c>
      <c r="S137" s="80" t="s">
        <v>211</v>
      </c>
      <c r="T137" s="81" t="s">
        <v>47</v>
      </c>
      <c r="U137" s="90" t="s">
        <v>212</v>
      </c>
      <c r="V137" s="78" t="s">
        <v>213</v>
      </c>
      <c r="W137" s="87" t="s">
        <v>1965</v>
      </c>
      <c r="X137" s="87" t="s">
        <v>104</v>
      </c>
    </row>
    <row r="138" spans="1:24">
      <c r="A138" s="86" t="s">
        <v>210</v>
      </c>
      <c r="B138" s="315"/>
      <c r="C138" s="317"/>
      <c r="D138" s="318"/>
      <c r="E138" s="320"/>
      <c r="F138" s="318"/>
      <c r="G138" s="407"/>
      <c r="H138" s="75"/>
      <c r="I138" s="412">
        <v>24</v>
      </c>
      <c r="J138" s="419"/>
      <c r="K138" s="75"/>
      <c r="L138" s="75"/>
      <c r="M138" s="75"/>
      <c r="N138" s="75"/>
      <c r="O138" s="94">
        <v>12</v>
      </c>
      <c r="P138" s="63">
        <v>6</v>
      </c>
      <c r="R138" s="79" t="s">
        <v>2047</v>
      </c>
      <c r="S138" s="80" t="s">
        <v>211</v>
      </c>
      <c r="T138" s="81" t="s">
        <v>47</v>
      </c>
      <c r="U138" s="90" t="s">
        <v>212</v>
      </c>
      <c r="V138" s="78" t="s">
        <v>213</v>
      </c>
      <c r="W138" s="87" t="s">
        <v>1965</v>
      </c>
      <c r="X138" s="87" t="s">
        <v>104</v>
      </c>
    </row>
    <row r="139" spans="1:24">
      <c r="A139" s="86" t="s">
        <v>210</v>
      </c>
      <c r="B139" s="315"/>
      <c r="C139" s="317"/>
      <c r="D139" s="318"/>
      <c r="E139" s="320"/>
      <c r="F139" s="318"/>
      <c r="G139" s="407"/>
      <c r="H139" s="75"/>
      <c r="I139" s="412"/>
      <c r="J139" s="419"/>
      <c r="K139" s="75"/>
      <c r="L139" s="75"/>
      <c r="M139" s="75"/>
      <c r="N139" s="75"/>
      <c r="O139" s="94">
        <v>12</v>
      </c>
      <c r="P139" s="63">
        <v>6</v>
      </c>
      <c r="R139" s="79" t="s">
        <v>2047</v>
      </c>
      <c r="S139" s="80" t="s">
        <v>211</v>
      </c>
      <c r="T139" s="81" t="s">
        <v>47</v>
      </c>
      <c r="U139" s="90" t="s">
        <v>212</v>
      </c>
      <c r="V139" s="78" t="s">
        <v>213</v>
      </c>
      <c r="W139" s="87" t="s">
        <v>1965</v>
      </c>
      <c r="X139" s="87" t="s">
        <v>104</v>
      </c>
    </row>
    <row r="140" spans="1:24" ht="63.75">
      <c r="A140" s="97" t="s">
        <v>214</v>
      </c>
      <c r="B140" s="315"/>
      <c r="C140" s="317">
        <v>4</v>
      </c>
      <c r="D140" s="318"/>
      <c r="E140" s="320"/>
      <c r="F140" s="318"/>
      <c r="G140" s="407"/>
      <c r="H140" s="75"/>
      <c r="I140" s="412"/>
      <c r="J140" s="419"/>
      <c r="K140" s="75"/>
      <c r="L140" s="75"/>
      <c r="M140" s="75"/>
      <c r="N140" s="75"/>
      <c r="O140" s="94">
        <v>3.8</v>
      </c>
      <c r="P140" s="63">
        <v>8</v>
      </c>
      <c r="Q140" s="63">
        <v>30</v>
      </c>
      <c r="R140" s="79" t="s">
        <v>2048</v>
      </c>
      <c r="S140" s="80" t="s">
        <v>214</v>
      </c>
      <c r="T140" s="81" t="s">
        <v>1957</v>
      </c>
      <c r="U140" s="78"/>
      <c r="V140" s="63" t="s">
        <v>215</v>
      </c>
      <c r="W140" s="87" t="s">
        <v>1966</v>
      </c>
      <c r="X140" s="87" t="s">
        <v>104</v>
      </c>
    </row>
    <row r="141" spans="1:24" ht="51">
      <c r="A141" s="97" t="s">
        <v>214</v>
      </c>
      <c r="B141" s="315"/>
      <c r="C141" s="317">
        <v>5</v>
      </c>
      <c r="D141" s="318"/>
      <c r="E141" s="320"/>
      <c r="F141" s="318"/>
      <c r="G141" s="407"/>
      <c r="H141" s="75"/>
      <c r="I141" s="412"/>
      <c r="J141" s="419"/>
      <c r="K141" s="75"/>
      <c r="L141" s="75"/>
      <c r="M141" s="75"/>
      <c r="N141" s="75"/>
      <c r="O141" s="94">
        <v>3.7</v>
      </c>
      <c r="P141" s="63">
        <v>6</v>
      </c>
      <c r="Q141" s="63">
        <v>23</v>
      </c>
      <c r="R141" s="79" t="s">
        <v>2048</v>
      </c>
      <c r="S141" s="80" t="s">
        <v>214</v>
      </c>
      <c r="T141" s="81" t="s">
        <v>72</v>
      </c>
      <c r="U141" s="78"/>
      <c r="V141" s="63" t="s">
        <v>216</v>
      </c>
      <c r="W141" s="87" t="s">
        <v>1966</v>
      </c>
      <c r="X141" s="87" t="s">
        <v>104</v>
      </c>
    </row>
    <row r="142" spans="1:24" ht="51">
      <c r="A142" s="97" t="s">
        <v>65</v>
      </c>
      <c r="B142" s="315">
        <v>21</v>
      </c>
      <c r="C142" s="317"/>
      <c r="D142" s="318"/>
      <c r="E142" s="320"/>
      <c r="F142" s="318"/>
      <c r="G142" s="407"/>
      <c r="H142" s="75"/>
      <c r="I142" s="412"/>
      <c r="J142" s="419"/>
      <c r="K142" s="75"/>
      <c r="L142" s="75"/>
      <c r="M142" s="75"/>
      <c r="N142" s="75"/>
      <c r="O142" s="94">
        <v>5.8</v>
      </c>
      <c r="P142" s="63">
        <v>19</v>
      </c>
      <c r="Q142" s="63">
        <v>15</v>
      </c>
      <c r="R142" s="79" t="s">
        <v>2048</v>
      </c>
      <c r="S142" s="80" t="s">
        <v>65</v>
      </c>
      <c r="T142" s="81" t="s">
        <v>74</v>
      </c>
      <c r="U142" s="78"/>
      <c r="V142" s="63" t="s">
        <v>217</v>
      </c>
      <c r="W142" s="87" t="s">
        <v>1966</v>
      </c>
      <c r="X142" s="87" t="s">
        <v>104</v>
      </c>
    </row>
    <row r="143" spans="1:24" ht="25.5">
      <c r="A143" s="97" t="s">
        <v>65</v>
      </c>
      <c r="B143" s="315">
        <v>28</v>
      </c>
      <c r="C143" s="317"/>
      <c r="D143" s="318"/>
      <c r="E143" s="320"/>
      <c r="F143" s="318"/>
      <c r="G143" s="407"/>
      <c r="H143" s="75"/>
      <c r="I143" s="412"/>
      <c r="J143" s="419"/>
      <c r="K143" s="75"/>
      <c r="L143" s="75"/>
      <c r="M143" s="75"/>
      <c r="N143" s="75"/>
      <c r="O143" s="94">
        <v>5.3</v>
      </c>
      <c r="P143" s="63">
        <v>4</v>
      </c>
      <c r="Q143" s="63">
        <v>6</v>
      </c>
      <c r="R143" s="79" t="s">
        <v>2048</v>
      </c>
      <c r="S143" s="80" t="s">
        <v>65</v>
      </c>
      <c r="T143" s="81" t="s">
        <v>75</v>
      </c>
      <c r="U143" s="78"/>
      <c r="V143" s="63" t="s">
        <v>218</v>
      </c>
      <c r="W143" s="87" t="s">
        <v>1966</v>
      </c>
      <c r="X143" s="87" t="s">
        <v>104</v>
      </c>
    </row>
    <row r="144" spans="1:24" ht="63.75">
      <c r="A144" s="97" t="s">
        <v>219</v>
      </c>
      <c r="B144" s="315">
        <v>14</v>
      </c>
      <c r="C144" s="317"/>
      <c r="D144" s="318"/>
      <c r="E144" s="320"/>
      <c r="F144" s="318"/>
      <c r="G144" s="407"/>
      <c r="H144" s="75"/>
      <c r="I144" s="412"/>
      <c r="J144" s="419"/>
      <c r="K144" s="75"/>
      <c r="L144" s="75"/>
      <c r="M144" s="75"/>
      <c r="N144" s="75"/>
      <c r="O144" s="94">
        <v>7.5</v>
      </c>
      <c r="P144" s="63">
        <v>2</v>
      </c>
      <c r="Q144" s="63">
        <v>24</v>
      </c>
      <c r="R144" s="79" t="s">
        <v>2048</v>
      </c>
      <c r="S144" s="80" t="s">
        <v>219</v>
      </c>
      <c r="T144" s="81" t="s">
        <v>73</v>
      </c>
      <c r="U144" s="78"/>
      <c r="V144" s="63" t="s">
        <v>220</v>
      </c>
      <c r="W144" s="87" t="s">
        <v>1966</v>
      </c>
      <c r="X144" s="87" t="s">
        <v>104</v>
      </c>
    </row>
    <row r="145" spans="1:24" ht="51">
      <c r="A145" s="97" t="s">
        <v>221</v>
      </c>
      <c r="B145" s="315"/>
      <c r="C145" s="317"/>
      <c r="D145" s="318"/>
      <c r="E145" s="320"/>
      <c r="F145" s="318"/>
      <c r="G145" s="407"/>
      <c r="H145" s="75">
        <v>18</v>
      </c>
      <c r="I145" s="412"/>
      <c r="J145" s="419"/>
      <c r="K145" s="75"/>
      <c r="L145" s="75"/>
      <c r="M145" s="75"/>
      <c r="N145" s="75"/>
      <c r="O145" s="94">
        <v>3.3</v>
      </c>
      <c r="P145" s="63">
        <v>2</v>
      </c>
      <c r="Q145" s="63">
        <v>24</v>
      </c>
      <c r="R145" s="79" t="s">
        <v>2048</v>
      </c>
      <c r="S145" s="80" t="s">
        <v>219</v>
      </c>
      <c r="T145" s="81" t="s">
        <v>1958</v>
      </c>
      <c r="U145" s="78"/>
      <c r="V145" s="63" t="s">
        <v>222</v>
      </c>
      <c r="W145" s="87" t="s">
        <v>1966</v>
      </c>
      <c r="X145" s="87" t="s">
        <v>104</v>
      </c>
    </row>
    <row r="146" spans="1:24" ht="76.5">
      <c r="A146" s="97" t="s">
        <v>223</v>
      </c>
      <c r="B146" s="315"/>
      <c r="C146" s="317"/>
      <c r="D146" s="318"/>
      <c r="E146" s="320"/>
      <c r="F146" s="318"/>
      <c r="G146" s="407"/>
      <c r="H146" s="75"/>
      <c r="I146" s="412">
        <v>26</v>
      </c>
      <c r="J146" s="419"/>
      <c r="K146" s="75"/>
      <c r="L146" s="75"/>
      <c r="M146" s="75"/>
      <c r="N146" s="75"/>
      <c r="O146" s="94">
        <v>8.6</v>
      </c>
      <c r="P146" s="63">
        <v>10</v>
      </c>
      <c r="Q146" s="63">
        <v>21</v>
      </c>
      <c r="R146" s="79" t="s">
        <v>2048</v>
      </c>
      <c r="S146" s="80" t="s">
        <v>223</v>
      </c>
      <c r="T146" s="81" t="s">
        <v>1959</v>
      </c>
      <c r="U146" s="78"/>
      <c r="V146" s="63" t="s">
        <v>224</v>
      </c>
      <c r="W146" s="87" t="s">
        <v>1966</v>
      </c>
      <c r="X146" s="87" t="s">
        <v>104</v>
      </c>
    </row>
    <row r="147" spans="1:24" ht="63.75">
      <c r="A147" s="97" t="s">
        <v>225</v>
      </c>
      <c r="B147" s="315"/>
      <c r="C147" s="317"/>
      <c r="D147" s="318"/>
      <c r="E147" s="320"/>
      <c r="F147" s="318"/>
      <c r="G147" s="407"/>
      <c r="H147" s="75">
        <v>10</v>
      </c>
      <c r="I147" s="412"/>
      <c r="J147" s="419"/>
      <c r="K147" s="75"/>
      <c r="L147" s="75"/>
      <c r="M147" s="75"/>
      <c r="N147" s="75"/>
      <c r="O147" s="94">
        <v>4.5999999999999996</v>
      </c>
      <c r="P147" s="63">
        <v>20</v>
      </c>
      <c r="Q147" s="63">
        <v>14</v>
      </c>
      <c r="R147" s="79" t="s">
        <v>2048</v>
      </c>
      <c r="S147" s="80" t="s">
        <v>70</v>
      </c>
      <c r="T147" s="81" t="s">
        <v>69</v>
      </c>
      <c r="U147" s="78"/>
      <c r="V147" s="63" t="s">
        <v>226</v>
      </c>
      <c r="W147" s="87" t="s">
        <v>1966</v>
      </c>
      <c r="X147" s="87" t="s">
        <v>104</v>
      </c>
    </row>
    <row r="148" spans="1:24" ht="38.25">
      <c r="A148" s="97" t="s">
        <v>227</v>
      </c>
      <c r="B148" s="315"/>
      <c r="C148" s="317"/>
      <c r="D148" s="318"/>
      <c r="E148" s="320"/>
      <c r="F148" s="318"/>
      <c r="G148" s="407"/>
      <c r="H148" s="75">
        <v>11</v>
      </c>
      <c r="I148" s="412"/>
      <c r="J148" s="419"/>
      <c r="K148" s="75"/>
      <c r="L148" s="75"/>
      <c r="M148" s="75"/>
      <c r="N148" s="75"/>
      <c r="O148" s="94">
        <v>5.7</v>
      </c>
      <c r="P148" s="63">
        <v>2</v>
      </c>
      <c r="Q148" s="63">
        <v>15</v>
      </c>
      <c r="R148" s="79" t="s">
        <v>2048</v>
      </c>
      <c r="S148" s="80" t="s">
        <v>70</v>
      </c>
      <c r="T148" s="81" t="s">
        <v>71</v>
      </c>
      <c r="U148" s="78"/>
      <c r="V148" s="63" t="s">
        <v>228</v>
      </c>
      <c r="W148" s="87" t="s">
        <v>1966</v>
      </c>
      <c r="X148" s="87" t="s">
        <v>104</v>
      </c>
    </row>
    <row r="149" spans="1:24" ht="38.25">
      <c r="A149" s="97" t="s">
        <v>229</v>
      </c>
      <c r="B149" s="315"/>
      <c r="C149" s="317">
        <v>14</v>
      </c>
      <c r="D149" s="318"/>
      <c r="E149" s="320"/>
      <c r="F149" s="318"/>
      <c r="G149" s="407"/>
      <c r="H149" s="75"/>
      <c r="I149" s="412"/>
      <c r="J149" s="419"/>
      <c r="K149" s="75"/>
      <c r="L149" s="75"/>
      <c r="M149" s="75"/>
      <c r="N149" s="75"/>
      <c r="O149" s="94">
        <v>5.4</v>
      </c>
      <c r="P149" s="63">
        <v>14</v>
      </c>
      <c r="R149" s="79" t="s">
        <v>2048</v>
      </c>
      <c r="S149" s="80" t="s">
        <v>230</v>
      </c>
      <c r="T149" s="81" t="s">
        <v>68</v>
      </c>
      <c r="U149" s="78"/>
      <c r="V149" s="63" t="s">
        <v>231</v>
      </c>
      <c r="W149" s="87" t="s">
        <v>1966</v>
      </c>
      <c r="X149" s="87" t="s">
        <v>104</v>
      </c>
    </row>
    <row r="150" spans="1:24" ht="38.25">
      <c r="A150" s="97" t="s">
        <v>229</v>
      </c>
      <c r="B150" s="315"/>
      <c r="C150" s="317"/>
      <c r="D150" s="318"/>
      <c r="E150" s="320"/>
      <c r="F150" s="318"/>
      <c r="G150" s="407"/>
      <c r="H150" s="75"/>
      <c r="I150" s="412"/>
      <c r="J150" s="419"/>
      <c r="K150" s="75"/>
      <c r="L150" s="75"/>
      <c r="M150" s="75"/>
      <c r="N150" s="75"/>
      <c r="O150" s="94">
        <v>5.4</v>
      </c>
      <c r="P150" s="63">
        <v>14</v>
      </c>
      <c r="R150" s="79" t="s">
        <v>2048</v>
      </c>
      <c r="S150" s="80" t="s">
        <v>230</v>
      </c>
      <c r="T150" s="81" t="s">
        <v>68</v>
      </c>
      <c r="U150" s="78"/>
      <c r="V150" s="63" t="s">
        <v>231</v>
      </c>
      <c r="W150" s="87" t="s">
        <v>1966</v>
      </c>
      <c r="X150" s="87" t="s">
        <v>104</v>
      </c>
    </row>
    <row r="151" spans="1:24" ht="38.25">
      <c r="A151" s="97" t="s">
        <v>232</v>
      </c>
      <c r="B151" s="315"/>
      <c r="C151" s="317"/>
      <c r="D151" s="318"/>
      <c r="E151" s="320"/>
      <c r="F151" s="318"/>
      <c r="G151" s="407"/>
      <c r="H151" s="75"/>
      <c r="I151" s="412"/>
      <c r="J151" s="419"/>
      <c r="K151" s="75"/>
      <c r="L151" s="75"/>
      <c r="M151" s="75"/>
      <c r="N151" s="75"/>
      <c r="O151" s="94">
        <v>4.3</v>
      </c>
      <c r="P151" s="63">
        <v>14</v>
      </c>
      <c r="Q151" s="63">
        <v>5</v>
      </c>
      <c r="R151" s="79" t="s">
        <v>2048</v>
      </c>
      <c r="S151" s="80" t="s">
        <v>232</v>
      </c>
      <c r="T151" s="81" t="s">
        <v>1960</v>
      </c>
      <c r="U151" s="78"/>
      <c r="V151" s="63" t="s">
        <v>233</v>
      </c>
      <c r="W151" s="87" t="s">
        <v>1966</v>
      </c>
      <c r="X151" s="87" t="s">
        <v>104</v>
      </c>
    </row>
    <row r="152" spans="1:24" hidden="1">
      <c r="A152" s="98" t="s">
        <v>234</v>
      </c>
      <c r="B152" s="315"/>
      <c r="C152" s="317"/>
      <c r="D152" s="318"/>
      <c r="E152" s="320"/>
      <c r="F152" s="318"/>
      <c r="G152" s="407"/>
      <c r="H152" s="75"/>
      <c r="I152" s="412"/>
      <c r="J152" s="419"/>
      <c r="K152" s="75"/>
      <c r="L152" s="75"/>
      <c r="M152" s="75"/>
      <c r="N152" s="75"/>
      <c r="O152" s="94">
        <v>5</v>
      </c>
      <c r="P152" s="63">
        <v>2</v>
      </c>
      <c r="R152" s="79"/>
      <c r="S152" s="62" t="s">
        <v>235</v>
      </c>
      <c r="T152" s="99" t="s">
        <v>100</v>
      </c>
      <c r="U152" s="63" t="s">
        <v>236</v>
      </c>
      <c r="V152" s="63" t="s">
        <v>237</v>
      </c>
      <c r="W152" s="87" t="s">
        <v>201</v>
      </c>
      <c r="X152" s="87" t="s">
        <v>104</v>
      </c>
    </row>
    <row r="153" spans="1:24" hidden="1">
      <c r="A153" s="98" t="s">
        <v>234</v>
      </c>
      <c r="B153" s="315"/>
      <c r="C153" s="317"/>
      <c r="D153" s="318"/>
      <c r="E153" s="320"/>
      <c r="F153" s="318"/>
      <c r="G153" s="407"/>
      <c r="H153" s="75"/>
      <c r="I153" s="412"/>
      <c r="J153" s="419"/>
      <c r="K153" s="75"/>
      <c r="L153" s="75"/>
      <c r="M153" s="75"/>
      <c r="N153" s="75"/>
      <c r="O153" s="94">
        <v>5</v>
      </c>
      <c r="P153" s="63">
        <v>2</v>
      </c>
      <c r="R153" s="79"/>
      <c r="S153" s="62" t="s">
        <v>235</v>
      </c>
      <c r="T153" s="99" t="s">
        <v>100</v>
      </c>
      <c r="U153" s="63" t="s">
        <v>236</v>
      </c>
      <c r="V153" s="63" t="s">
        <v>237</v>
      </c>
      <c r="W153" s="87" t="s">
        <v>201</v>
      </c>
      <c r="X153" s="87" t="s">
        <v>104</v>
      </c>
    </row>
    <row r="154" spans="1:24" hidden="1">
      <c r="A154" s="98" t="s">
        <v>238</v>
      </c>
      <c r="B154" s="315"/>
      <c r="C154" s="317"/>
      <c r="D154" s="318"/>
      <c r="E154" s="320"/>
      <c r="F154" s="318"/>
      <c r="G154" s="407"/>
      <c r="H154" s="75"/>
      <c r="I154" s="412"/>
      <c r="J154" s="419"/>
      <c r="K154" s="75"/>
      <c r="L154" s="75"/>
      <c r="M154" s="75"/>
      <c r="N154" s="75"/>
      <c r="O154" s="94">
        <v>5.0999999999999996</v>
      </c>
      <c r="P154" s="63">
        <v>4</v>
      </c>
      <c r="R154" s="79"/>
      <c r="S154" s="62" t="s">
        <v>235</v>
      </c>
      <c r="T154" s="99" t="s">
        <v>100</v>
      </c>
      <c r="U154" s="63" t="s">
        <v>239</v>
      </c>
      <c r="V154" s="63" t="s">
        <v>240</v>
      </c>
      <c r="W154" s="87" t="s">
        <v>201</v>
      </c>
      <c r="X154" s="87" t="s">
        <v>104</v>
      </c>
    </row>
    <row r="155" spans="1:24" hidden="1">
      <c r="A155" s="98" t="s">
        <v>238</v>
      </c>
      <c r="B155" s="315"/>
      <c r="C155" s="317"/>
      <c r="D155" s="318"/>
      <c r="E155" s="320"/>
      <c r="F155" s="318"/>
      <c r="G155" s="407"/>
      <c r="H155" s="75"/>
      <c r="I155" s="412"/>
      <c r="J155" s="419"/>
      <c r="K155" s="75"/>
      <c r="L155" s="75"/>
      <c r="M155" s="75"/>
      <c r="N155" s="75"/>
      <c r="O155" s="94">
        <v>5.0999999999999996</v>
      </c>
      <c r="P155" s="63">
        <v>4</v>
      </c>
      <c r="R155" s="79"/>
      <c r="S155" s="62" t="s">
        <v>235</v>
      </c>
      <c r="T155" s="99" t="s">
        <v>100</v>
      </c>
      <c r="U155" s="63" t="s">
        <v>239</v>
      </c>
      <c r="V155" s="63" t="s">
        <v>240</v>
      </c>
      <c r="W155" s="87" t="s">
        <v>201</v>
      </c>
      <c r="X155" s="87" t="s">
        <v>104</v>
      </c>
    </row>
    <row r="156" spans="1:24" ht="25.5" hidden="1">
      <c r="A156" s="98" t="s">
        <v>241</v>
      </c>
      <c r="B156" s="315"/>
      <c r="C156" s="317"/>
      <c r="D156" s="318"/>
      <c r="E156" s="320"/>
      <c r="F156" s="318"/>
      <c r="G156" s="407"/>
      <c r="H156" s="75"/>
      <c r="I156" s="412"/>
      <c r="J156" s="419"/>
      <c r="K156" s="75"/>
      <c r="L156" s="75"/>
      <c r="M156" s="75"/>
      <c r="N156" s="75"/>
      <c r="O156" s="94">
        <v>7</v>
      </c>
      <c r="P156" s="63">
        <v>4</v>
      </c>
      <c r="R156" s="79"/>
      <c r="S156" s="62" t="s">
        <v>242</v>
      </c>
      <c r="T156" s="99" t="s">
        <v>100</v>
      </c>
      <c r="U156" s="63" t="s">
        <v>243</v>
      </c>
      <c r="V156" s="63" t="s">
        <v>244</v>
      </c>
      <c r="W156" s="87" t="s">
        <v>106</v>
      </c>
      <c r="X156" s="87" t="s">
        <v>104</v>
      </c>
    </row>
    <row r="157" spans="1:24" ht="25.5" hidden="1">
      <c r="A157" s="98" t="s">
        <v>241</v>
      </c>
      <c r="B157" s="315"/>
      <c r="C157" s="317"/>
      <c r="D157" s="318"/>
      <c r="E157" s="320"/>
      <c r="F157" s="318"/>
      <c r="G157" s="407"/>
      <c r="H157" s="75"/>
      <c r="I157" s="412"/>
      <c r="J157" s="419"/>
      <c r="K157" s="75"/>
      <c r="L157" s="75"/>
      <c r="M157" s="75"/>
      <c r="N157" s="75"/>
      <c r="O157" s="94">
        <v>7</v>
      </c>
      <c r="P157" s="63">
        <v>4</v>
      </c>
      <c r="R157" s="79"/>
      <c r="S157" s="62" t="s">
        <v>242</v>
      </c>
      <c r="T157" s="99" t="s">
        <v>100</v>
      </c>
      <c r="U157" s="63" t="s">
        <v>243</v>
      </c>
      <c r="V157" s="63" t="s">
        <v>244</v>
      </c>
      <c r="W157" s="87" t="s">
        <v>106</v>
      </c>
      <c r="X157" s="87" t="s">
        <v>104</v>
      </c>
    </row>
    <row r="158" spans="1:24" hidden="1">
      <c r="A158" s="98" t="s">
        <v>245</v>
      </c>
      <c r="B158" s="315"/>
      <c r="C158" s="317"/>
      <c r="D158" s="318"/>
      <c r="E158" s="320"/>
      <c r="F158" s="318"/>
      <c r="G158" s="407"/>
      <c r="H158" s="75"/>
      <c r="I158" s="412"/>
      <c r="J158" s="419"/>
      <c r="K158" s="75"/>
      <c r="L158" s="75"/>
      <c r="M158" s="75"/>
      <c r="N158" s="75"/>
      <c r="O158" s="94">
        <v>5.4</v>
      </c>
      <c r="P158" s="63">
        <v>3</v>
      </c>
      <c r="R158" s="79"/>
      <c r="S158" s="62" t="s">
        <v>242</v>
      </c>
      <c r="T158" s="99" t="s">
        <v>100</v>
      </c>
      <c r="U158" s="63" t="s">
        <v>246</v>
      </c>
      <c r="V158" s="63" t="s">
        <v>247</v>
      </c>
      <c r="W158" s="87" t="s">
        <v>106</v>
      </c>
      <c r="X158" s="87" t="s">
        <v>104</v>
      </c>
    </row>
    <row r="159" spans="1:24" hidden="1">
      <c r="A159" s="98" t="s">
        <v>245</v>
      </c>
      <c r="B159" s="315"/>
      <c r="C159" s="317"/>
      <c r="D159" s="318"/>
      <c r="E159" s="320"/>
      <c r="F159" s="318"/>
      <c r="G159" s="407"/>
      <c r="H159" s="75"/>
      <c r="I159" s="412"/>
      <c r="J159" s="419"/>
      <c r="K159" s="75"/>
      <c r="L159" s="75"/>
      <c r="M159" s="75"/>
      <c r="N159" s="75"/>
      <c r="O159" s="94">
        <v>5.4</v>
      </c>
      <c r="P159" s="63">
        <v>3</v>
      </c>
      <c r="R159" s="79"/>
      <c r="S159" s="62" t="s">
        <v>242</v>
      </c>
      <c r="T159" s="99" t="s">
        <v>100</v>
      </c>
      <c r="U159" s="63" t="s">
        <v>246</v>
      </c>
      <c r="V159" s="63" t="s">
        <v>247</v>
      </c>
      <c r="W159" s="87" t="s">
        <v>106</v>
      </c>
      <c r="X159" s="87" t="s">
        <v>104</v>
      </c>
    </row>
    <row r="160" spans="1:24" ht="25.5" hidden="1">
      <c r="A160" s="98" t="s">
        <v>248</v>
      </c>
      <c r="B160" s="315"/>
      <c r="C160" s="317"/>
      <c r="D160" s="318"/>
      <c r="E160" s="320"/>
      <c r="F160" s="318"/>
      <c r="G160" s="407"/>
      <c r="H160" s="75"/>
      <c r="I160" s="412"/>
      <c r="J160" s="419"/>
      <c r="K160" s="75"/>
      <c r="L160" s="75"/>
      <c r="M160" s="75"/>
      <c r="N160" s="75"/>
      <c r="O160" s="94">
        <v>8</v>
      </c>
      <c r="P160" s="63">
        <v>7</v>
      </c>
      <c r="R160" s="79"/>
      <c r="S160" s="62" t="s">
        <v>242</v>
      </c>
      <c r="T160" s="99" t="s">
        <v>100</v>
      </c>
      <c r="U160" s="63" t="s">
        <v>249</v>
      </c>
      <c r="V160" s="63" t="s">
        <v>250</v>
      </c>
      <c r="W160" s="87" t="s">
        <v>106</v>
      </c>
      <c r="X160" s="87" t="s">
        <v>104</v>
      </c>
    </row>
    <row r="161" spans="1:24" ht="25.5" hidden="1">
      <c r="A161" s="98" t="s">
        <v>251</v>
      </c>
      <c r="B161" s="315"/>
      <c r="C161" s="317"/>
      <c r="D161" s="318"/>
      <c r="E161" s="320"/>
      <c r="F161" s="318"/>
      <c r="G161" s="407"/>
      <c r="H161" s="75"/>
      <c r="I161" s="412"/>
      <c r="J161" s="419"/>
      <c r="K161" s="75"/>
      <c r="L161" s="75"/>
      <c r="M161" s="75"/>
      <c r="N161" s="75"/>
      <c r="O161" s="94">
        <v>6.3</v>
      </c>
      <c r="P161" s="63">
        <v>3</v>
      </c>
      <c r="R161" s="79"/>
      <c r="S161" s="62" t="s">
        <v>252</v>
      </c>
      <c r="T161" s="99" t="s">
        <v>253</v>
      </c>
      <c r="U161" s="63" t="s">
        <v>254</v>
      </c>
      <c r="V161" s="63" t="s">
        <v>255</v>
      </c>
      <c r="W161" s="87" t="s">
        <v>106</v>
      </c>
      <c r="X161" s="87" t="s">
        <v>104</v>
      </c>
    </row>
    <row r="162" spans="1:24" ht="25.5" hidden="1">
      <c r="A162" s="98" t="s">
        <v>256</v>
      </c>
      <c r="B162" s="315"/>
      <c r="C162" s="317"/>
      <c r="D162" s="318"/>
      <c r="E162" s="320"/>
      <c r="F162" s="318"/>
      <c r="G162" s="407"/>
      <c r="H162" s="75"/>
      <c r="I162" s="412"/>
      <c r="J162" s="419"/>
      <c r="K162" s="75"/>
      <c r="L162" s="75"/>
      <c r="M162" s="75"/>
      <c r="N162" s="75"/>
      <c r="O162" s="94">
        <v>4.8</v>
      </c>
      <c r="P162" s="63">
        <v>6</v>
      </c>
      <c r="R162" s="79"/>
      <c r="S162" s="62" t="s">
        <v>257</v>
      </c>
      <c r="T162" s="99" t="s">
        <v>258</v>
      </c>
      <c r="U162" s="63" t="s">
        <v>259</v>
      </c>
      <c r="V162" s="63" t="s">
        <v>260</v>
      </c>
      <c r="W162" s="87" t="s">
        <v>106</v>
      </c>
      <c r="X162" s="87" t="s">
        <v>104</v>
      </c>
    </row>
    <row r="163" spans="1:24" ht="25.5" hidden="1">
      <c r="A163" s="98" t="s">
        <v>261</v>
      </c>
      <c r="B163" s="315"/>
      <c r="C163" s="317"/>
      <c r="D163" s="318"/>
      <c r="E163" s="320"/>
      <c r="F163" s="318"/>
      <c r="G163" s="407"/>
      <c r="H163" s="75"/>
      <c r="I163" s="412"/>
      <c r="J163" s="419"/>
      <c r="K163" s="75"/>
      <c r="L163" s="75"/>
      <c r="M163" s="75"/>
      <c r="N163" s="75"/>
      <c r="O163" s="94">
        <v>3</v>
      </c>
      <c r="P163" s="63">
        <v>9</v>
      </c>
      <c r="R163" s="79"/>
      <c r="S163" s="62" t="s">
        <v>257</v>
      </c>
      <c r="T163" s="99" t="s">
        <v>262</v>
      </c>
      <c r="U163" s="63" t="s">
        <v>259</v>
      </c>
      <c r="V163" s="63" t="s">
        <v>263</v>
      </c>
      <c r="W163" s="87" t="s">
        <v>106</v>
      </c>
      <c r="X163" s="87" t="s">
        <v>104</v>
      </c>
    </row>
    <row r="164" spans="1:24" ht="25.5" hidden="1">
      <c r="A164" s="98" t="s">
        <v>264</v>
      </c>
      <c r="B164" s="315"/>
      <c r="C164" s="317"/>
      <c r="D164" s="318"/>
      <c r="E164" s="320"/>
      <c r="F164" s="318"/>
      <c r="G164" s="407"/>
      <c r="H164" s="75"/>
      <c r="I164" s="412"/>
      <c r="J164" s="419"/>
      <c r="K164" s="75"/>
      <c r="L164" s="75"/>
      <c r="M164" s="75"/>
      <c r="N164" s="75"/>
      <c r="O164" s="94">
        <v>5.0999999999999996</v>
      </c>
      <c r="P164" s="63">
        <v>11</v>
      </c>
      <c r="R164" s="79"/>
      <c r="S164" s="62" t="s">
        <v>257</v>
      </c>
      <c r="T164" s="99" t="s">
        <v>265</v>
      </c>
      <c r="U164" s="63" t="s">
        <v>259</v>
      </c>
      <c r="V164" s="63" t="s">
        <v>266</v>
      </c>
      <c r="W164" s="87" t="s">
        <v>106</v>
      </c>
      <c r="X164" s="87" t="s">
        <v>104</v>
      </c>
    </row>
    <row r="165" spans="1:24" ht="25.5" hidden="1">
      <c r="A165" s="98" t="s">
        <v>267</v>
      </c>
      <c r="B165" s="315"/>
      <c r="C165" s="317"/>
      <c r="D165" s="318"/>
      <c r="E165" s="320"/>
      <c r="F165" s="318"/>
      <c r="G165" s="407"/>
      <c r="H165" s="75"/>
      <c r="I165" s="412"/>
      <c r="J165" s="419"/>
      <c r="K165" s="75"/>
      <c r="L165" s="75"/>
      <c r="M165" s="75"/>
      <c r="N165" s="75"/>
      <c r="O165" s="94">
        <v>2.6</v>
      </c>
      <c r="P165" s="63">
        <v>7</v>
      </c>
      <c r="R165" s="79"/>
      <c r="S165" s="62" t="s">
        <v>268</v>
      </c>
      <c r="T165" s="99" t="s">
        <v>269</v>
      </c>
      <c r="V165" s="63" t="s">
        <v>270</v>
      </c>
      <c r="W165" s="87" t="s">
        <v>106</v>
      </c>
      <c r="X165" s="87" t="s">
        <v>104</v>
      </c>
    </row>
    <row r="166" spans="1:24" hidden="1">
      <c r="A166" s="98" t="s">
        <v>271</v>
      </c>
      <c r="B166" s="315"/>
      <c r="C166" s="317"/>
      <c r="D166" s="318"/>
      <c r="E166" s="320"/>
      <c r="F166" s="318"/>
      <c r="G166" s="407"/>
      <c r="H166" s="75"/>
      <c r="I166" s="412"/>
      <c r="J166" s="419"/>
      <c r="K166" s="75"/>
      <c r="L166" s="75"/>
      <c r="M166" s="75"/>
      <c r="N166" s="75"/>
      <c r="O166" s="94">
        <v>2.6</v>
      </c>
      <c r="P166" s="63">
        <v>4</v>
      </c>
      <c r="R166" s="79"/>
      <c r="S166" s="62" t="s">
        <v>272</v>
      </c>
      <c r="T166" s="99" t="s">
        <v>100</v>
      </c>
      <c r="U166" s="63" t="s">
        <v>273</v>
      </c>
      <c r="V166" s="63" t="s">
        <v>274</v>
      </c>
      <c r="W166" s="87" t="s">
        <v>106</v>
      </c>
      <c r="X166" s="87" t="s">
        <v>104</v>
      </c>
    </row>
    <row r="167" spans="1:24" hidden="1">
      <c r="A167" s="98" t="s">
        <v>271</v>
      </c>
      <c r="B167" s="315"/>
      <c r="C167" s="317"/>
      <c r="D167" s="318"/>
      <c r="E167" s="320"/>
      <c r="F167" s="318"/>
      <c r="G167" s="407"/>
      <c r="H167" s="75"/>
      <c r="I167" s="412"/>
      <c r="J167" s="419"/>
      <c r="K167" s="75"/>
      <c r="L167" s="75"/>
      <c r="M167" s="75"/>
      <c r="N167" s="75"/>
      <c r="O167" s="94">
        <v>2.6</v>
      </c>
      <c r="P167" s="63">
        <v>4</v>
      </c>
      <c r="R167" s="79"/>
      <c r="S167" s="62" t="s">
        <v>272</v>
      </c>
      <c r="T167" s="99" t="s">
        <v>100</v>
      </c>
      <c r="U167" s="63" t="s">
        <v>273</v>
      </c>
      <c r="V167" s="63" t="s">
        <v>274</v>
      </c>
      <c r="W167" s="87" t="s">
        <v>106</v>
      </c>
      <c r="X167" s="87" t="s">
        <v>104</v>
      </c>
    </row>
    <row r="168" spans="1:24" hidden="1">
      <c r="A168" s="98" t="s">
        <v>275</v>
      </c>
      <c r="B168" s="315"/>
      <c r="C168" s="317"/>
      <c r="D168" s="318"/>
      <c r="E168" s="320"/>
      <c r="F168" s="318"/>
      <c r="G168" s="407"/>
      <c r="H168" s="75"/>
      <c r="I168" s="412"/>
      <c r="J168" s="419"/>
      <c r="K168" s="75"/>
      <c r="L168" s="75"/>
      <c r="M168" s="75"/>
      <c r="N168" s="75"/>
      <c r="O168" s="94">
        <v>8.5</v>
      </c>
      <c r="P168" s="63">
        <v>6</v>
      </c>
      <c r="R168" s="79"/>
      <c r="S168" s="62" t="s">
        <v>272</v>
      </c>
      <c r="T168" s="99" t="s">
        <v>100</v>
      </c>
      <c r="U168" s="63" t="s">
        <v>276</v>
      </c>
      <c r="V168" s="63" t="s">
        <v>277</v>
      </c>
      <c r="W168" s="87" t="s">
        <v>106</v>
      </c>
      <c r="X168" s="87" t="s">
        <v>104</v>
      </c>
    </row>
    <row r="169" spans="1:24" hidden="1">
      <c r="A169" s="98" t="s">
        <v>275</v>
      </c>
      <c r="B169" s="315"/>
      <c r="C169" s="317"/>
      <c r="D169" s="318"/>
      <c r="E169" s="320"/>
      <c r="F169" s="318"/>
      <c r="G169" s="407"/>
      <c r="H169" s="75"/>
      <c r="I169" s="412"/>
      <c r="J169" s="419"/>
      <c r="K169" s="75"/>
      <c r="L169" s="75"/>
      <c r="M169" s="75"/>
      <c r="N169" s="75"/>
      <c r="O169" s="94">
        <v>8.5</v>
      </c>
      <c r="P169" s="63">
        <v>6</v>
      </c>
      <c r="R169" s="79"/>
      <c r="S169" s="62" t="s">
        <v>272</v>
      </c>
      <c r="T169" s="99" t="s">
        <v>100</v>
      </c>
      <c r="U169" s="63" t="s">
        <v>276</v>
      </c>
      <c r="V169" s="63" t="s">
        <v>277</v>
      </c>
      <c r="W169" s="87" t="s">
        <v>106</v>
      </c>
      <c r="X169" s="87" t="s">
        <v>104</v>
      </c>
    </row>
    <row r="170" spans="1:24" ht="25.5" hidden="1">
      <c r="A170" s="98" t="s">
        <v>278</v>
      </c>
      <c r="B170" s="315"/>
      <c r="C170" s="317"/>
      <c r="D170" s="318"/>
      <c r="E170" s="320"/>
      <c r="F170" s="318"/>
      <c r="G170" s="407"/>
      <c r="H170" s="75"/>
      <c r="I170" s="412"/>
      <c r="J170" s="419"/>
      <c r="K170" s="75"/>
      <c r="L170" s="75"/>
      <c r="M170" s="75"/>
      <c r="N170" s="75"/>
      <c r="O170" s="94">
        <v>7.8</v>
      </c>
      <c r="P170" s="63">
        <v>9</v>
      </c>
      <c r="R170" s="79"/>
      <c r="S170" s="62" t="s">
        <v>279</v>
      </c>
      <c r="T170" s="99" t="s">
        <v>280</v>
      </c>
      <c r="U170" s="69" t="s">
        <v>281</v>
      </c>
      <c r="V170" s="63" t="s">
        <v>282</v>
      </c>
      <c r="W170" s="87" t="s">
        <v>106</v>
      </c>
      <c r="X170" s="87" t="s">
        <v>104</v>
      </c>
    </row>
    <row r="171" spans="1:24" hidden="1">
      <c r="A171" s="98" t="s">
        <v>283</v>
      </c>
      <c r="B171" s="315"/>
      <c r="C171" s="317"/>
      <c r="D171" s="318"/>
      <c r="E171" s="320"/>
      <c r="F171" s="318"/>
      <c r="G171" s="407"/>
      <c r="H171" s="75"/>
      <c r="I171" s="412"/>
      <c r="J171" s="419"/>
      <c r="K171" s="75"/>
      <c r="L171" s="75"/>
      <c r="M171" s="75"/>
      <c r="N171" s="75"/>
      <c r="O171" s="94">
        <v>7</v>
      </c>
      <c r="R171" s="79"/>
      <c r="S171" s="62" t="s">
        <v>284</v>
      </c>
      <c r="T171" s="99" t="s">
        <v>285</v>
      </c>
      <c r="U171" s="69" t="s">
        <v>286</v>
      </c>
      <c r="W171" s="87" t="s">
        <v>106</v>
      </c>
      <c r="X171" s="87" t="s">
        <v>104</v>
      </c>
    </row>
    <row r="172" spans="1:24" ht="25.5" hidden="1">
      <c r="A172" s="98" t="s">
        <v>287</v>
      </c>
      <c r="B172" s="315"/>
      <c r="C172" s="317"/>
      <c r="D172" s="318"/>
      <c r="E172" s="320"/>
      <c r="F172" s="318"/>
      <c r="G172" s="407"/>
      <c r="H172" s="75"/>
      <c r="I172" s="412"/>
      <c r="J172" s="419"/>
      <c r="K172" s="75"/>
      <c r="L172" s="75"/>
      <c r="M172" s="75"/>
      <c r="N172" s="75"/>
      <c r="O172" s="94">
        <v>4.0999999999999996</v>
      </c>
      <c r="P172" s="63">
        <v>12</v>
      </c>
      <c r="R172" s="79"/>
      <c r="S172" s="62" t="s">
        <v>288</v>
      </c>
      <c r="T172" s="99" t="s">
        <v>289</v>
      </c>
      <c r="U172" s="69" t="s">
        <v>290</v>
      </c>
      <c r="V172" s="63" t="s">
        <v>291</v>
      </c>
      <c r="W172" s="87" t="s">
        <v>106</v>
      </c>
      <c r="X172" s="87" t="s">
        <v>104</v>
      </c>
    </row>
    <row r="173" spans="1:24" hidden="1">
      <c r="A173" s="98" t="s">
        <v>292</v>
      </c>
      <c r="B173" s="315"/>
      <c r="C173" s="317"/>
      <c r="D173" s="318"/>
      <c r="E173" s="320"/>
      <c r="F173" s="318"/>
      <c r="G173" s="407"/>
      <c r="H173" s="75"/>
      <c r="I173" s="412"/>
      <c r="J173" s="419"/>
      <c r="K173" s="75"/>
      <c r="L173" s="75"/>
      <c r="M173" s="75"/>
      <c r="N173" s="75"/>
      <c r="O173" s="94">
        <v>4</v>
      </c>
      <c r="R173" s="79"/>
      <c r="S173" s="62" t="s">
        <v>284</v>
      </c>
      <c r="T173" s="99" t="s">
        <v>285</v>
      </c>
      <c r="U173" s="69" t="s">
        <v>293</v>
      </c>
      <c r="W173" s="87" t="s">
        <v>106</v>
      </c>
      <c r="X173" s="87" t="s">
        <v>104</v>
      </c>
    </row>
    <row r="174" spans="1:24" hidden="1">
      <c r="A174" s="98" t="s">
        <v>294</v>
      </c>
      <c r="B174" s="315"/>
      <c r="C174" s="317"/>
      <c r="D174" s="318"/>
      <c r="E174" s="320"/>
      <c r="F174" s="318"/>
      <c r="G174" s="407"/>
      <c r="H174" s="75"/>
      <c r="I174" s="412"/>
      <c r="J174" s="419"/>
      <c r="K174" s="75"/>
      <c r="L174" s="75"/>
      <c r="M174" s="75"/>
      <c r="N174" s="75"/>
      <c r="O174" s="94">
        <v>4</v>
      </c>
      <c r="R174" s="79"/>
      <c r="S174" s="62" t="s">
        <v>284</v>
      </c>
      <c r="T174" s="99" t="s">
        <v>285</v>
      </c>
      <c r="U174" s="69" t="s">
        <v>295</v>
      </c>
      <c r="W174" s="87" t="s">
        <v>106</v>
      </c>
      <c r="X174" s="87" t="s">
        <v>104</v>
      </c>
    </row>
    <row r="175" spans="1:24" ht="38.25" hidden="1">
      <c r="A175" s="98" t="s">
        <v>296</v>
      </c>
      <c r="B175" s="315"/>
      <c r="C175" s="317"/>
      <c r="D175" s="318"/>
      <c r="E175" s="320"/>
      <c r="F175" s="318"/>
      <c r="G175" s="407"/>
      <c r="H175" s="75"/>
      <c r="I175" s="412"/>
      <c r="J175" s="419"/>
      <c r="K175" s="75"/>
      <c r="L175" s="75"/>
      <c r="M175" s="75"/>
      <c r="N175" s="75"/>
      <c r="O175" s="94">
        <v>5.7</v>
      </c>
      <c r="P175" s="63">
        <v>18</v>
      </c>
      <c r="R175" s="79"/>
      <c r="S175" s="62" t="s">
        <v>297</v>
      </c>
      <c r="T175" s="99" t="s">
        <v>298</v>
      </c>
      <c r="U175" s="69" t="s">
        <v>299</v>
      </c>
      <c r="V175" s="63" t="s">
        <v>300</v>
      </c>
      <c r="W175" s="87" t="s">
        <v>106</v>
      </c>
      <c r="X175" s="87" t="s">
        <v>104</v>
      </c>
    </row>
    <row r="176" spans="1:24" ht="25.5" hidden="1">
      <c r="A176" s="98" t="s">
        <v>301</v>
      </c>
      <c r="B176" s="315"/>
      <c r="C176" s="317"/>
      <c r="D176" s="318"/>
      <c r="E176" s="320"/>
      <c r="F176" s="318"/>
      <c r="G176" s="407"/>
      <c r="H176" s="75"/>
      <c r="I176" s="412"/>
      <c r="J176" s="419"/>
      <c r="K176" s="75"/>
      <c r="L176" s="75"/>
      <c r="M176" s="75"/>
      <c r="N176" s="75"/>
      <c r="O176" s="94">
        <v>2.6</v>
      </c>
      <c r="P176" s="63">
        <v>6</v>
      </c>
      <c r="R176" s="79"/>
      <c r="S176" s="62" t="s">
        <v>302</v>
      </c>
      <c r="T176" s="99" t="s">
        <v>303</v>
      </c>
      <c r="U176" s="69"/>
      <c r="V176" s="63" t="s">
        <v>304</v>
      </c>
      <c r="W176" s="87" t="s">
        <v>106</v>
      </c>
      <c r="X176" s="87" t="s">
        <v>104</v>
      </c>
    </row>
    <row r="177" spans="1:24" ht="25.5" hidden="1">
      <c r="A177" s="98" t="s">
        <v>305</v>
      </c>
      <c r="B177" s="315"/>
      <c r="C177" s="317"/>
      <c r="D177" s="318"/>
      <c r="E177" s="320"/>
      <c r="F177" s="318"/>
      <c r="G177" s="407"/>
      <c r="H177" s="75"/>
      <c r="I177" s="412"/>
      <c r="J177" s="419"/>
      <c r="K177" s="75"/>
      <c r="L177" s="75"/>
      <c r="M177" s="75"/>
      <c r="N177" s="75"/>
      <c r="O177" s="94">
        <v>7.1</v>
      </c>
      <c r="P177" s="63">
        <v>16</v>
      </c>
      <c r="R177" s="79"/>
      <c r="S177" s="62" t="s">
        <v>302</v>
      </c>
      <c r="T177" s="99" t="s">
        <v>306</v>
      </c>
      <c r="U177" s="69"/>
      <c r="V177" s="63" t="s">
        <v>307</v>
      </c>
      <c r="W177" s="87" t="s">
        <v>106</v>
      </c>
      <c r="X177" s="87" t="s">
        <v>104</v>
      </c>
    </row>
    <row r="178" spans="1:24" hidden="1">
      <c r="A178" s="98" t="s">
        <v>308</v>
      </c>
      <c r="B178" s="315"/>
      <c r="C178" s="317"/>
      <c r="D178" s="318"/>
      <c r="E178" s="320"/>
      <c r="F178" s="318"/>
      <c r="G178" s="407"/>
      <c r="H178" s="75"/>
      <c r="I178" s="412"/>
      <c r="J178" s="419"/>
      <c r="K178" s="75"/>
      <c r="L178" s="75"/>
      <c r="M178" s="321"/>
      <c r="N178" s="321"/>
      <c r="O178" s="94">
        <v>4</v>
      </c>
      <c r="R178" s="79"/>
      <c r="S178" s="83" t="s">
        <v>309</v>
      </c>
      <c r="T178" s="99" t="s">
        <v>285</v>
      </c>
      <c r="U178" s="69" t="s">
        <v>310</v>
      </c>
      <c r="W178" s="87" t="s">
        <v>311</v>
      </c>
      <c r="X178" s="87" t="s">
        <v>104</v>
      </c>
    </row>
    <row r="179" spans="1:24" hidden="1">
      <c r="A179" s="98" t="s">
        <v>312</v>
      </c>
      <c r="B179" s="315"/>
      <c r="C179" s="317"/>
      <c r="D179" s="318"/>
      <c r="E179" s="320"/>
      <c r="F179" s="318"/>
      <c r="G179" s="407"/>
      <c r="H179" s="75"/>
      <c r="I179" s="412"/>
      <c r="J179" s="419"/>
      <c r="K179" s="75"/>
      <c r="L179" s="75"/>
      <c r="M179" s="321"/>
      <c r="N179" s="321"/>
      <c r="O179" s="94">
        <v>7</v>
      </c>
      <c r="R179" s="79"/>
      <c r="S179" s="83" t="s">
        <v>309</v>
      </c>
      <c r="T179" s="99" t="s">
        <v>285</v>
      </c>
      <c r="U179" s="69" t="s">
        <v>313</v>
      </c>
      <c r="W179" s="87" t="s">
        <v>311</v>
      </c>
      <c r="X179" s="87" t="s">
        <v>104</v>
      </c>
    </row>
    <row r="180" spans="1:24" hidden="1">
      <c r="A180" s="98" t="s">
        <v>314</v>
      </c>
      <c r="B180" s="315"/>
      <c r="C180" s="317"/>
      <c r="D180" s="318"/>
      <c r="E180" s="320"/>
      <c r="F180" s="318"/>
      <c r="G180" s="407"/>
      <c r="H180" s="75"/>
      <c r="I180" s="412"/>
      <c r="J180" s="419"/>
      <c r="K180" s="75"/>
      <c r="L180" s="75"/>
      <c r="M180" s="321"/>
      <c r="N180" s="321"/>
      <c r="O180" s="94">
        <v>6</v>
      </c>
      <c r="R180" s="79"/>
      <c r="S180" s="83" t="s">
        <v>309</v>
      </c>
      <c r="T180" s="99" t="s">
        <v>285</v>
      </c>
      <c r="U180" s="69" t="s">
        <v>315</v>
      </c>
      <c r="W180" s="87" t="s">
        <v>311</v>
      </c>
      <c r="X180" s="87" t="s">
        <v>104</v>
      </c>
    </row>
    <row r="181" spans="1:24" hidden="1">
      <c r="A181" s="98" t="s">
        <v>316</v>
      </c>
      <c r="B181" s="315"/>
      <c r="C181" s="317"/>
      <c r="D181" s="318"/>
      <c r="E181" s="320"/>
      <c r="F181" s="318"/>
      <c r="G181" s="407"/>
      <c r="H181" s="75"/>
      <c r="I181" s="412"/>
      <c r="J181" s="419"/>
      <c r="K181" s="75"/>
      <c r="L181" s="75"/>
      <c r="M181" s="321"/>
      <c r="N181" s="321"/>
      <c r="O181" s="94">
        <v>6</v>
      </c>
      <c r="R181" s="79"/>
      <c r="S181" s="83" t="s">
        <v>309</v>
      </c>
      <c r="T181" s="99" t="s">
        <v>317</v>
      </c>
      <c r="U181" s="69" t="s">
        <v>318</v>
      </c>
      <c r="V181" s="63" t="s">
        <v>319</v>
      </c>
      <c r="W181" s="87" t="s">
        <v>311</v>
      </c>
      <c r="X181" s="87" t="s">
        <v>104</v>
      </c>
    </row>
    <row r="182" spans="1:24" ht="38.25" hidden="1">
      <c r="A182" s="98" t="s">
        <v>320</v>
      </c>
      <c r="B182" s="315"/>
      <c r="C182" s="317"/>
      <c r="D182" s="318"/>
      <c r="E182" s="320"/>
      <c r="F182" s="318"/>
      <c r="G182" s="407"/>
      <c r="H182" s="75"/>
      <c r="I182" s="412"/>
      <c r="J182" s="419"/>
      <c r="K182" s="75"/>
      <c r="L182" s="75"/>
      <c r="M182" s="321"/>
      <c r="N182" s="321"/>
      <c r="O182" s="94">
        <v>7.8</v>
      </c>
      <c r="P182" s="63">
        <v>12</v>
      </c>
      <c r="R182" s="79"/>
      <c r="S182" s="83" t="s">
        <v>321</v>
      </c>
      <c r="T182" s="99" t="s">
        <v>322</v>
      </c>
      <c r="U182" s="69" t="s">
        <v>323</v>
      </c>
      <c r="V182" s="63" t="s">
        <v>324</v>
      </c>
      <c r="W182" s="87" t="s">
        <v>311</v>
      </c>
      <c r="X182" s="87" t="s">
        <v>104</v>
      </c>
    </row>
    <row r="183" spans="1:24" ht="25.5" hidden="1">
      <c r="A183" s="98" t="s">
        <v>325</v>
      </c>
      <c r="B183" s="315"/>
      <c r="C183" s="317"/>
      <c r="D183" s="318"/>
      <c r="E183" s="320"/>
      <c r="F183" s="318"/>
      <c r="G183" s="407"/>
      <c r="H183" s="75"/>
      <c r="I183" s="412"/>
      <c r="J183" s="419"/>
      <c r="K183" s="75"/>
      <c r="L183" s="75"/>
      <c r="M183" s="321"/>
      <c r="N183" s="321"/>
      <c r="O183" s="94">
        <v>3.8</v>
      </c>
      <c r="P183" s="63">
        <v>5</v>
      </c>
      <c r="R183" s="79"/>
      <c r="S183" s="83" t="s">
        <v>326</v>
      </c>
      <c r="T183" s="99" t="s">
        <v>327</v>
      </c>
      <c r="U183" s="69"/>
      <c r="V183" s="63" t="s">
        <v>328</v>
      </c>
      <c r="W183" s="87" t="s">
        <v>311</v>
      </c>
      <c r="X183" s="87" t="s">
        <v>104</v>
      </c>
    </row>
    <row r="184" spans="1:24" hidden="1">
      <c r="A184" s="98" t="s">
        <v>329</v>
      </c>
      <c r="B184" s="315"/>
      <c r="C184" s="317"/>
      <c r="D184" s="318"/>
      <c r="E184" s="320"/>
      <c r="F184" s="318"/>
      <c r="G184" s="407"/>
      <c r="H184" s="75"/>
      <c r="I184" s="412"/>
      <c r="J184" s="419"/>
      <c r="K184" s="75"/>
      <c r="L184" s="75"/>
      <c r="M184" s="321"/>
      <c r="N184" s="321"/>
      <c r="O184" s="94">
        <v>6.2</v>
      </c>
      <c r="P184" s="63">
        <v>2</v>
      </c>
      <c r="R184" s="79"/>
      <c r="S184" s="83" t="s">
        <v>330</v>
      </c>
      <c r="T184" s="99" t="s">
        <v>285</v>
      </c>
      <c r="U184" s="69" t="s">
        <v>331</v>
      </c>
      <c r="V184" s="63" t="s">
        <v>332</v>
      </c>
      <c r="W184" s="87" t="s">
        <v>311</v>
      </c>
      <c r="X184" s="87" t="s">
        <v>104</v>
      </c>
    </row>
    <row r="185" spans="1:24" hidden="1">
      <c r="A185" s="98" t="s">
        <v>329</v>
      </c>
      <c r="B185" s="315"/>
      <c r="C185" s="317"/>
      <c r="D185" s="318"/>
      <c r="E185" s="320"/>
      <c r="F185" s="318"/>
      <c r="G185" s="407"/>
      <c r="H185" s="75"/>
      <c r="I185" s="412"/>
      <c r="J185" s="419"/>
      <c r="K185" s="75"/>
      <c r="L185" s="75"/>
      <c r="M185" s="321"/>
      <c r="N185" s="321"/>
      <c r="O185" s="94">
        <v>6.2</v>
      </c>
      <c r="P185" s="63">
        <v>2</v>
      </c>
      <c r="R185" s="79"/>
      <c r="S185" s="83" t="s">
        <v>330</v>
      </c>
      <c r="T185" s="99" t="s">
        <v>285</v>
      </c>
      <c r="U185" s="69" t="s">
        <v>331</v>
      </c>
      <c r="V185" s="63" t="s">
        <v>332</v>
      </c>
      <c r="W185" s="87" t="s">
        <v>311</v>
      </c>
      <c r="X185" s="87" t="s">
        <v>104</v>
      </c>
    </row>
    <row r="186" spans="1:24" ht="38.25" hidden="1">
      <c r="A186" s="98" t="s">
        <v>333</v>
      </c>
      <c r="B186" s="315"/>
      <c r="C186" s="317"/>
      <c r="D186" s="318"/>
      <c r="E186" s="320"/>
      <c r="F186" s="318"/>
      <c r="G186" s="407"/>
      <c r="H186" s="75"/>
      <c r="I186" s="412"/>
      <c r="J186" s="419"/>
      <c r="K186" s="75"/>
      <c r="L186" s="75"/>
      <c r="M186" s="75"/>
      <c r="N186" s="75"/>
      <c r="O186" s="94">
        <v>10.1</v>
      </c>
      <c r="P186" s="63">
        <v>11</v>
      </c>
      <c r="R186" s="79"/>
      <c r="S186" s="83" t="s">
        <v>334</v>
      </c>
      <c r="T186" s="99" t="s">
        <v>335</v>
      </c>
      <c r="U186" s="69" t="s">
        <v>336</v>
      </c>
      <c r="V186" s="63" t="s">
        <v>337</v>
      </c>
      <c r="W186" s="87" t="s">
        <v>311</v>
      </c>
      <c r="X186" s="87" t="s">
        <v>104</v>
      </c>
    </row>
    <row r="187" spans="1:24" ht="25.5" hidden="1">
      <c r="A187" s="98" t="s">
        <v>338</v>
      </c>
      <c r="B187" s="315"/>
      <c r="C187" s="317"/>
      <c r="D187" s="318"/>
      <c r="E187" s="320"/>
      <c r="F187" s="318"/>
      <c r="G187" s="407"/>
      <c r="H187" s="75"/>
      <c r="I187" s="412"/>
      <c r="J187" s="419"/>
      <c r="K187" s="75"/>
      <c r="L187" s="75"/>
      <c r="M187" s="75"/>
      <c r="N187" s="75"/>
      <c r="O187" s="94">
        <v>10.5</v>
      </c>
      <c r="P187" s="63">
        <v>5</v>
      </c>
      <c r="R187" s="79"/>
      <c r="S187" s="83" t="s">
        <v>339</v>
      </c>
      <c r="T187" s="99" t="s">
        <v>340</v>
      </c>
      <c r="U187" s="69" t="s">
        <v>341</v>
      </c>
      <c r="V187" s="63" t="s">
        <v>342</v>
      </c>
      <c r="W187" s="87" t="s">
        <v>311</v>
      </c>
      <c r="X187" s="87" t="s">
        <v>104</v>
      </c>
    </row>
    <row r="188" spans="1:24" ht="38.25" hidden="1">
      <c r="A188" s="98" t="s">
        <v>343</v>
      </c>
      <c r="B188" s="315"/>
      <c r="C188" s="317"/>
      <c r="D188" s="318"/>
      <c r="E188" s="320"/>
      <c r="F188" s="318"/>
      <c r="G188" s="407"/>
      <c r="H188" s="75"/>
      <c r="I188" s="412"/>
      <c r="J188" s="419"/>
      <c r="K188" s="75"/>
      <c r="L188" s="75"/>
      <c r="M188" s="75"/>
      <c r="N188" s="75"/>
      <c r="O188" s="94">
        <v>13.1</v>
      </c>
      <c r="P188" s="63">
        <v>8</v>
      </c>
      <c r="R188" s="79"/>
      <c r="S188" s="83" t="s">
        <v>344</v>
      </c>
      <c r="T188" s="99" t="s">
        <v>345</v>
      </c>
      <c r="U188" s="69" t="s">
        <v>346</v>
      </c>
      <c r="V188" s="63" t="s">
        <v>347</v>
      </c>
      <c r="W188" s="87" t="s">
        <v>311</v>
      </c>
      <c r="X188" s="87" t="s">
        <v>104</v>
      </c>
    </row>
    <row r="189" spans="1:24" ht="25.5" hidden="1">
      <c r="A189" s="98" t="s">
        <v>348</v>
      </c>
      <c r="B189" s="315"/>
      <c r="C189" s="317"/>
      <c r="D189" s="318"/>
      <c r="E189" s="320"/>
      <c r="F189" s="318"/>
      <c r="G189" s="407"/>
      <c r="H189" s="75"/>
      <c r="I189" s="412"/>
      <c r="J189" s="419"/>
      <c r="K189" s="75"/>
      <c r="L189" s="75"/>
      <c r="M189" s="75"/>
      <c r="N189" s="75"/>
      <c r="O189" s="94">
        <v>9.8000000000000007</v>
      </c>
      <c r="P189" s="63">
        <v>3</v>
      </c>
      <c r="R189" s="79"/>
      <c r="S189" s="83" t="s">
        <v>349</v>
      </c>
      <c r="T189" s="99" t="s">
        <v>350</v>
      </c>
      <c r="U189" s="69" t="s">
        <v>351</v>
      </c>
      <c r="V189" s="63" t="s">
        <v>352</v>
      </c>
      <c r="W189" s="87" t="s">
        <v>311</v>
      </c>
      <c r="X189" s="87" t="s">
        <v>104</v>
      </c>
    </row>
    <row r="190" spans="1:24" ht="25.5" hidden="1">
      <c r="A190" s="98" t="s">
        <v>353</v>
      </c>
      <c r="B190" s="315"/>
      <c r="C190" s="317"/>
      <c r="D190" s="318"/>
      <c r="E190" s="320"/>
      <c r="F190" s="318"/>
      <c r="G190" s="407"/>
      <c r="H190" s="75"/>
      <c r="I190" s="412"/>
      <c r="J190" s="419"/>
      <c r="K190" s="75"/>
      <c r="L190" s="75"/>
      <c r="M190" s="75"/>
      <c r="N190" s="75"/>
      <c r="O190" s="94">
        <v>8.1</v>
      </c>
      <c r="P190" s="63">
        <v>8</v>
      </c>
      <c r="R190" s="79"/>
      <c r="S190" s="62" t="s">
        <v>354</v>
      </c>
      <c r="T190" s="99" t="s">
        <v>113</v>
      </c>
      <c r="U190" s="63" t="s">
        <v>355</v>
      </c>
      <c r="V190" s="63" t="s">
        <v>356</v>
      </c>
      <c r="W190" s="87" t="s">
        <v>103</v>
      </c>
      <c r="X190" s="87" t="s">
        <v>104</v>
      </c>
    </row>
    <row r="191" spans="1:24" ht="25.5" hidden="1">
      <c r="A191" s="98" t="s">
        <v>353</v>
      </c>
      <c r="B191" s="315"/>
      <c r="C191" s="317"/>
      <c r="D191" s="318"/>
      <c r="E191" s="320"/>
      <c r="F191" s="318"/>
      <c r="G191" s="407"/>
      <c r="H191" s="75"/>
      <c r="I191" s="412"/>
      <c r="J191" s="419"/>
      <c r="K191" s="75"/>
      <c r="L191" s="75"/>
      <c r="M191" s="75"/>
      <c r="N191" s="75"/>
      <c r="O191" s="94">
        <v>8.1</v>
      </c>
      <c r="P191" s="63">
        <v>8</v>
      </c>
      <c r="R191" s="79"/>
      <c r="S191" s="62" t="s">
        <v>354</v>
      </c>
      <c r="T191" s="99" t="s">
        <v>113</v>
      </c>
      <c r="U191" s="63" t="s">
        <v>355</v>
      </c>
      <c r="V191" s="63" t="s">
        <v>356</v>
      </c>
      <c r="W191" s="87" t="s">
        <v>103</v>
      </c>
      <c r="X191" s="87" t="s">
        <v>104</v>
      </c>
    </row>
    <row r="192" spans="1:24" ht="25.5" hidden="1">
      <c r="A192" s="98" t="s">
        <v>357</v>
      </c>
      <c r="B192" s="315"/>
      <c r="C192" s="317"/>
      <c r="D192" s="318"/>
      <c r="E192" s="320"/>
      <c r="F192" s="318"/>
      <c r="G192" s="407"/>
      <c r="H192" s="75"/>
      <c r="I192" s="412"/>
      <c r="J192" s="419"/>
      <c r="K192" s="75"/>
      <c r="L192" s="75"/>
      <c r="M192" s="75"/>
      <c r="N192" s="75"/>
      <c r="O192" s="94">
        <v>3.8</v>
      </c>
      <c r="P192" s="63">
        <v>6</v>
      </c>
      <c r="R192" s="79"/>
      <c r="S192" s="62" t="s">
        <v>354</v>
      </c>
      <c r="T192" s="99" t="s">
        <v>113</v>
      </c>
      <c r="U192" s="63" t="s">
        <v>358</v>
      </c>
      <c r="V192" s="63" t="s">
        <v>359</v>
      </c>
      <c r="W192" s="87" t="s">
        <v>103</v>
      </c>
      <c r="X192" s="87" t="s">
        <v>104</v>
      </c>
    </row>
    <row r="193" spans="1:24" ht="25.5" hidden="1">
      <c r="A193" s="98" t="s">
        <v>357</v>
      </c>
      <c r="B193" s="315"/>
      <c r="C193" s="317"/>
      <c r="D193" s="318"/>
      <c r="E193" s="320"/>
      <c r="F193" s="318"/>
      <c r="G193" s="407"/>
      <c r="H193" s="75"/>
      <c r="I193" s="412"/>
      <c r="J193" s="419"/>
      <c r="K193" s="75"/>
      <c r="L193" s="75"/>
      <c r="M193" s="75"/>
      <c r="N193" s="75"/>
      <c r="O193" s="94">
        <v>3.8</v>
      </c>
      <c r="P193" s="63">
        <v>6</v>
      </c>
      <c r="R193" s="79"/>
      <c r="S193" s="62" t="s">
        <v>354</v>
      </c>
      <c r="T193" s="99" t="s">
        <v>113</v>
      </c>
      <c r="U193" s="63" t="s">
        <v>358</v>
      </c>
      <c r="V193" s="63" t="s">
        <v>359</v>
      </c>
      <c r="W193" s="87" t="s">
        <v>103</v>
      </c>
      <c r="X193" s="87" t="s">
        <v>104</v>
      </c>
    </row>
    <row r="194" spans="1:24" ht="25.5" hidden="1">
      <c r="A194" s="98" t="s">
        <v>360</v>
      </c>
      <c r="B194" s="315"/>
      <c r="C194" s="317"/>
      <c r="D194" s="318"/>
      <c r="E194" s="320"/>
      <c r="F194" s="318"/>
      <c r="G194" s="407"/>
      <c r="H194" s="75"/>
      <c r="I194" s="412"/>
      <c r="J194" s="419"/>
      <c r="K194" s="75"/>
      <c r="L194" s="75"/>
      <c r="M194" s="75"/>
      <c r="N194" s="75"/>
      <c r="O194" s="94">
        <v>4.3</v>
      </c>
      <c r="P194" s="63">
        <v>2</v>
      </c>
      <c r="R194" s="79"/>
      <c r="S194" s="62" t="s">
        <v>354</v>
      </c>
      <c r="T194" s="99" t="s">
        <v>113</v>
      </c>
      <c r="U194" s="63" t="s">
        <v>361</v>
      </c>
      <c r="V194" s="63" t="s">
        <v>362</v>
      </c>
      <c r="W194" s="87" t="s">
        <v>103</v>
      </c>
      <c r="X194" s="87" t="s">
        <v>104</v>
      </c>
    </row>
    <row r="195" spans="1:24" ht="25.5" hidden="1">
      <c r="A195" s="98" t="s">
        <v>360</v>
      </c>
      <c r="B195" s="315"/>
      <c r="C195" s="317"/>
      <c r="D195" s="318"/>
      <c r="E195" s="320"/>
      <c r="F195" s="318"/>
      <c r="G195" s="407"/>
      <c r="H195" s="75"/>
      <c r="I195" s="412"/>
      <c r="J195" s="419"/>
      <c r="K195" s="75"/>
      <c r="L195" s="75"/>
      <c r="M195" s="75"/>
      <c r="N195" s="75"/>
      <c r="O195" s="94">
        <v>4.3</v>
      </c>
      <c r="P195" s="63">
        <v>2</v>
      </c>
      <c r="R195" s="79"/>
      <c r="S195" s="62" t="s">
        <v>354</v>
      </c>
      <c r="T195" s="99" t="s">
        <v>113</v>
      </c>
      <c r="U195" s="63" t="s">
        <v>361</v>
      </c>
      <c r="V195" s="63" t="s">
        <v>362</v>
      </c>
      <c r="W195" s="87" t="s">
        <v>103</v>
      </c>
      <c r="X195" s="87" t="s">
        <v>104</v>
      </c>
    </row>
    <row r="196" spans="1:24" ht="25.5" hidden="1">
      <c r="A196" s="98" t="s">
        <v>363</v>
      </c>
      <c r="B196" s="315"/>
      <c r="C196" s="317"/>
      <c r="D196" s="318"/>
      <c r="E196" s="320"/>
      <c r="F196" s="318"/>
      <c r="G196" s="407"/>
      <c r="H196" s="75"/>
      <c r="I196" s="412"/>
      <c r="J196" s="419"/>
      <c r="K196" s="75"/>
      <c r="L196" s="75"/>
      <c r="M196" s="75"/>
      <c r="N196" s="75"/>
      <c r="O196" s="94">
        <v>6.5</v>
      </c>
      <c r="P196" s="63">
        <v>5</v>
      </c>
      <c r="R196" s="79"/>
      <c r="S196" s="62" t="s">
        <v>364</v>
      </c>
      <c r="T196" s="99" t="s">
        <v>365</v>
      </c>
      <c r="U196" s="63" t="s">
        <v>366</v>
      </c>
      <c r="V196" s="63" t="s">
        <v>367</v>
      </c>
      <c r="W196" s="87" t="s">
        <v>103</v>
      </c>
      <c r="X196" s="87" t="s">
        <v>104</v>
      </c>
    </row>
    <row r="197" spans="1:24" ht="25.5" hidden="1">
      <c r="A197" s="98" t="s">
        <v>368</v>
      </c>
      <c r="B197" s="315"/>
      <c r="C197" s="317"/>
      <c r="D197" s="318"/>
      <c r="E197" s="320"/>
      <c r="F197" s="318"/>
      <c r="G197" s="407"/>
      <c r="H197" s="75"/>
      <c r="I197" s="412"/>
      <c r="J197" s="419"/>
      <c r="K197" s="75"/>
      <c r="L197" s="75"/>
      <c r="M197" s="75"/>
      <c r="N197" s="75"/>
      <c r="O197" s="94">
        <v>6</v>
      </c>
      <c r="P197" s="63">
        <v>7</v>
      </c>
      <c r="R197" s="79"/>
      <c r="S197" s="62" t="s">
        <v>369</v>
      </c>
      <c r="T197" s="99" t="s">
        <v>370</v>
      </c>
      <c r="U197" s="63" t="s">
        <v>371</v>
      </c>
      <c r="V197" s="63" t="s">
        <v>372</v>
      </c>
      <c r="W197" s="87" t="s">
        <v>103</v>
      </c>
      <c r="X197" s="87" t="s">
        <v>104</v>
      </c>
    </row>
    <row r="198" spans="1:24" hidden="1">
      <c r="A198" s="98" t="s">
        <v>373</v>
      </c>
      <c r="B198" s="315"/>
      <c r="C198" s="317"/>
      <c r="D198" s="318"/>
      <c r="E198" s="320"/>
      <c r="F198" s="318"/>
      <c r="G198" s="407"/>
      <c r="H198" s="75"/>
      <c r="I198" s="412"/>
      <c r="J198" s="419"/>
      <c r="K198" s="75"/>
      <c r="L198" s="75"/>
      <c r="M198" s="75"/>
      <c r="N198" s="75"/>
      <c r="O198" s="94">
        <v>3.8</v>
      </c>
      <c r="P198" s="63">
        <v>4</v>
      </c>
      <c r="R198" s="79"/>
      <c r="S198" s="62" t="s">
        <v>374</v>
      </c>
      <c r="T198" s="99" t="s">
        <v>375</v>
      </c>
      <c r="U198" s="63" t="s">
        <v>376</v>
      </c>
      <c r="V198" s="63" t="s">
        <v>377</v>
      </c>
      <c r="W198" s="87" t="s">
        <v>103</v>
      </c>
      <c r="X198" s="87" t="s">
        <v>104</v>
      </c>
    </row>
    <row r="199" spans="1:24" ht="25.5" hidden="1">
      <c r="A199" s="98" t="s">
        <v>378</v>
      </c>
      <c r="B199" s="315"/>
      <c r="C199" s="317"/>
      <c r="D199" s="318"/>
      <c r="E199" s="320"/>
      <c r="F199" s="318"/>
      <c r="G199" s="407"/>
      <c r="H199" s="75"/>
      <c r="I199" s="412"/>
      <c r="J199" s="419"/>
      <c r="K199" s="75"/>
      <c r="L199" s="75"/>
      <c r="M199" s="75"/>
      <c r="N199" s="75"/>
      <c r="O199" s="94">
        <v>3.4</v>
      </c>
      <c r="P199" s="63">
        <v>6</v>
      </c>
      <c r="R199" s="79"/>
      <c r="S199" s="62" t="s">
        <v>379</v>
      </c>
      <c r="T199" s="99" t="s">
        <v>380</v>
      </c>
      <c r="U199" s="69" t="s">
        <v>381</v>
      </c>
      <c r="V199" s="63" t="s">
        <v>382</v>
      </c>
      <c r="W199" s="87" t="s">
        <v>103</v>
      </c>
      <c r="X199" s="87" t="s">
        <v>104</v>
      </c>
    </row>
    <row r="200" spans="1:24" ht="25.5" hidden="1">
      <c r="A200" s="98" t="s">
        <v>383</v>
      </c>
      <c r="B200" s="315"/>
      <c r="C200" s="317"/>
      <c r="D200" s="318"/>
      <c r="E200" s="320"/>
      <c r="F200" s="318"/>
      <c r="G200" s="407"/>
      <c r="H200" s="75"/>
      <c r="I200" s="412"/>
      <c r="J200" s="419"/>
      <c r="K200" s="75"/>
      <c r="L200" s="75"/>
      <c r="M200" s="75"/>
      <c r="N200" s="75"/>
      <c r="O200" s="94">
        <v>4.0999999999999996</v>
      </c>
      <c r="P200" s="63">
        <v>4</v>
      </c>
      <c r="R200" s="79"/>
      <c r="S200" s="62" t="s">
        <v>379</v>
      </c>
      <c r="T200" s="99" t="s">
        <v>384</v>
      </c>
      <c r="U200" s="69" t="s">
        <v>381</v>
      </c>
      <c r="V200" s="63" t="s">
        <v>385</v>
      </c>
      <c r="W200" s="87" t="s">
        <v>103</v>
      </c>
      <c r="X200" s="87" t="s">
        <v>104</v>
      </c>
    </row>
    <row r="201" spans="1:24" ht="25.5" hidden="1">
      <c r="A201" s="98" t="s">
        <v>386</v>
      </c>
      <c r="B201" s="315"/>
      <c r="C201" s="317"/>
      <c r="D201" s="318"/>
      <c r="E201" s="320"/>
      <c r="F201" s="318"/>
      <c r="G201" s="407"/>
      <c r="H201" s="75"/>
      <c r="I201" s="412"/>
      <c r="J201" s="419"/>
      <c r="K201" s="75"/>
      <c r="L201" s="75"/>
      <c r="M201" s="75"/>
      <c r="N201" s="75"/>
      <c r="O201" s="94">
        <v>5.4</v>
      </c>
      <c r="P201" s="63">
        <v>8</v>
      </c>
      <c r="R201" s="79"/>
      <c r="S201" s="62" t="s">
        <v>379</v>
      </c>
      <c r="T201" s="99" t="s">
        <v>387</v>
      </c>
      <c r="U201" s="69" t="s">
        <v>381</v>
      </c>
      <c r="V201" s="63" t="s">
        <v>388</v>
      </c>
      <c r="W201" s="87" t="s">
        <v>103</v>
      </c>
      <c r="X201" s="87" t="s">
        <v>104</v>
      </c>
    </row>
    <row r="202" spans="1:24" ht="25.5" hidden="1">
      <c r="A202" s="98" t="s">
        <v>389</v>
      </c>
      <c r="B202" s="315"/>
      <c r="C202" s="317"/>
      <c r="D202" s="318"/>
      <c r="E202" s="320"/>
      <c r="F202" s="318"/>
      <c r="G202" s="407"/>
      <c r="H202" s="75"/>
      <c r="I202" s="412"/>
      <c r="J202" s="419"/>
      <c r="K202" s="75"/>
      <c r="L202" s="75"/>
      <c r="M202" s="75"/>
      <c r="N202" s="75"/>
      <c r="O202" s="94">
        <v>5.8</v>
      </c>
      <c r="P202" s="63">
        <v>6</v>
      </c>
      <c r="R202" s="79"/>
      <c r="S202" s="62" t="s">
        <v>374</v>
      </c>
      <c r="T202" s="99" t="s">
        <v>375</v>
      </c>
      <c r="U202" s="63" t="s">
        <v>390</v>
      </c>
      <c r="V202" s="63" t="s">
        <v>391</v>
      </c>
      <c r="W202" s="87" t="s">
        <v>103</v>
      </c>
      <c r="X202" s="87" t="s">
        <v>104</v>
      </c>
    </row>
    <row r="203" spans="1:24" ht="25.5" hidden="1">
      <c r="A203" s="98" t="s">
        <v>389</v>
      </c>
      <c r="B203" s="315"/>
      <c r="C203" s="317"/>
      <c r="D203" s="318"/>
      <c r="E203" s="320"/>
      <c r="F203" s="318"/>
      <c r="G203" s="407"/>
      <c r="H203" s="75"/>
      <c r="I203" s="412"/>
      <c r="J203" s="419"/>
      <c r="K203" s="75"/>
      <c r="L203" s="75"/>
      <c r="M203" s="75"/>
      <c r="N203" s="75"/>
      <c r="O203" s="94">
        <v>5.8</v>
      </c>
      <c r="P203" s="63">
        <v>6</v>
      </c>
      <c r="R203" s="79"/>
      <c r="S203" s="62" t="s">
        <v>374</v>
      </c>
      <c r="T203" s="99" t="s">
        <v>375</v>
      </c>
      <c r="U203" s="63" t="s">
        <v>390</v>
      </c>
      <c r="V203" s="63" t="s">
        <v>391</v>
      </c>
      <c r="W203" s="87" t="s">
        <v>103</v>
      </c>
      <c r="X203" s="87" t="s">
        <v>104</v>
      </c>
    </row>
    <row r="204" spans="1:24" ht="25.5" hidden="1">
      <c r="A204" s="98" t="s">
        <v>392</v>
      </c>
      <c r="B204" s="315"/>
      <c r="C204" s="317"/>
      <c r="D204" s="318"/>
      <c r="E204" s="320"/>
      <c r="F204" s="318"/>
      <c r="G204" s="407"/>
      <c r="H204" s="75"/>
      <c r="I204" s="412"/>
      <c r="J204" s="419"/>
      <c r="K204" s="75"/>
      <c r="L204" s="75"/>
      <c r="M204" s="75"/>
      <c r="N204" s="75"/>
      <c r="O204" s="94">
        <v>3.3</v>
      </c>
      <c r="P204" s="63">
        <v>6</v>
      </c>
      <c r="R204" s="79"/>
      <c r="S204" s="62" t="s">
        <v>393</v>
      </c>
      <c r="T204" s="99" t="s">
        <v>394</v>
      </c>
      <c r="V204" s="63" t="s">
        <v>395</v>
      </c>
      <c r="W204" s="87" t="s">
        <v>103</v>
      </c>
      <c r="X204" s="87" t="s">
        <v>104</v>
      </c>
    </row>
    <row r="205" spans="1:24" ht="25.5" hidden="1">
      <c r="A205" s="98" t="s">
        <v>396</v>
      </c>
      <c r="B205" s="315"/>
      <c r="C205" s="317"/>
      <c r="D205" s="318"/>
      <c r="E205" s="320"/>
      <c r="F205" s="318"/>
      <c r="G205" s="407"/>
      <c r="H205" s="75"/>
      <c r="I205" s="412"/>
      <c r="J205" s="419"/>
      <c r="K205" s="75"/>
      <c r="L205" s="75"/>
      <c r="M205" s="75"/>
      <c r="N205" s="75"/>
      <c r="O205" s="94">
        <v>8.1999999999999993</v>
      </c>
      <c r="P205" s="63">
        <v>6</v>
      </c>
      <c r="R205" s="79"/>
      <c r="S205" s="62" t="s">
        <v>397</v>
      </c>
      <c r="T205" s="99" t="s">
        <v>398</v>
      </c>
      <c r="U205" s="63" t="s">
        <v>399</v>
      </c>
      <c r="V205" s="63" t="s">
        <v>400</v>
      </c>
      <c r="W205" s="87" t="s">
        <v>103</v>
      </c>
      <c r="X205" s="87" t="s">
        <v>104</v>
      </c>
    </row>
    <row r="206" spans="1:24" ht="25.5" hidden="1">
      <c r="A206" s="98" t="s">
        <v>396</v>
      </c>
      <c r="B206" s="315"/>
      <c r="C206" s="317"/>
      <c r="D206" s="318"/>
      <c r="E206" s="320"/>
      <c r="F206" s="318"/>
      <c r="G206" s="407"/>
      <c r="H206" s="75"/>
      <c r="I206" s="412"/>
      <c r="J206" s="419"/>
      <c r="K206" s="75"/>
      <c r="L206" s="75"/>
      <c r="M206" s="75"/>
      <c r="N206" s="75"/>
      <c r="O206" s="94">
        <v>8.1999999999999993</v>
      </c>
      <c r="P206" s="63">
        <v>6</v>
      </c>
      <c r="R206" s="79"/>
      <c r="S206" s="62" t="s">
        <v>397</v>
      </c>
      <c r="T206" s="99" t="s">
        <v>398</v>
      </c>
      <c r="U206" s="63" t="s">
        <v>399</v>
      </c>
      <c r="V206" s="63" t="s">
        <v>400</v>
      </c>
      <c r="W206" s="87" t="s">
        <v>103</v>
      </c>
      <c r="X206" s="87" t="s">
        <v>104</v>
      </c>
    </row>
    <row r="207" spans="1:24" hidden="1">
      <c r="A207" s="98" t="s">
        <v>401</v>
      </c>
      <c r="B207" s="315"/>
      <c r="C207" s="317"/>
      <c r="D207" s="318"/>
      <c r="E207" s="320"/>
      <c r="F207" s="318"/>
      <c r="G207" s="407"/>
      <c r="H207" s="75"/>
      <c r="I207" s="412"/>
      <c r="J207" s="419"/>
      <c r="K207" s="75"/>
      <c r="L207" s="75"/>
      <c r="M207" s="75"/>
      <c r="N207" s="75"/>
      <c r="O207" s="94">
        <v>6</v>
      </c>
      <c r="P207" s="63">
        <v>5</v>
      </c>
      <c r="R207" s="79"/>
      <c r="S207" s="62" t="s">
        <v>402</v>
      </c>
      <c r="T207" s="99" t="s">
        <v>403</v>
      </c>
      <c r="U207" s="69" t="s">
        <v>404</v>
      </c>
      <c r="V207" s="63" t="s">
        <v>405</v>
      </c>
      <c r="W207" s="87" t="s">
        <v>103</v>
      </c>
      <c r="X207" s="87" t="s">
        <v>104</v>
      </c>
    </row>
    <row r="208" spans="1:24" hidden="1">
      <c r="A208" s="98" t="s">
        <v>401</v>
      </c>
      <c r="B208" s="315"/>
      <c r="C208" s="317"/>
      <c r="D208" s="318"/>
      <c r="E208" s="320"/>
      <c r="F208" s="318"/>
      <c r="G208" s="407"/>
      <c r="H208" s="75"/>
      <c r="I208" s="412"/>
      <c r="J208" s="419"/>
      <c r="K208" s="75"/>
      <c r="L208" s="75"/>
      <c r="M208" s="75"/>
      <c r="N208" s="75"/>
      <c r="O208" s="94">
        <v>6</v>
      </c>
      <c r="P208" s="63">
        <v>5</v>
      </c>
      <c r="R208" s="79"/>
      <c r="S208" s="62" t="s">
        <v>402</v>
      </c>
      <c r="T208" s="99" t="s">
        <v>403</v>
      </c>
      <c r="U208" s="69" t="s">
        <v>404</v>
      </c>
      <c r="V208" s="63" t="s">
        <v>405</v>
      </c>
      <c r="W208" s="87" t="s">
        <v>103</v>
      </c>
      <c r="X208" s="87" t="s">
        <v>104</v>
      </c>
    </row>
    <row r="209" spans="1:24" ht="25.5" hidden="1">
      <c r="A209" s="98" t="s">
        <v>406</v>
      </c>
      <c r="B209" s="315"/>
      <c r="C209" s="317"/>
      <c r="D209" s="318"/>
      <c r="E209" s="320"/>
      <c r="F209" s="318"/>
      <c r="G209" s="407"/>
      <c r="H209" s="75"/>
      <c r="I209" s="412"/>
      <c r="J209" s="419"/>
      <c r="K209" s="75"/>
      <c r="L209" s="75"/>
      <c r="M209" s="75"/>
      <c r="N209" s="75"/>
      <c r="O209" s="94">
        <v>3.3</v>
      </c>
      <c r="P209" s="63">
        <v>6</v>
      </c>
      <c r="R209" s="79"/>
      <c r="S209" s="62" t="s">
        <v>407</v>
      </c>
      <c r="T209" s="99" t="s">
        <v>408</v>
      </c>
      <c r="U209" s="69" t="s">
        <v>409</v>
      </c>
      <c r="V209" s="63" t="s">
        <v>410</v>
      </c>
      <c r="W209" s="87" t="s">
        <v>103</v>
      </c>
      <c r="X209" s="87" t="s">
        <v>104</v>
      </c>
    </row>
    <row r="210" spans="1:24" ht="25.5" hidden="1">
      <c r="A210" s="98" t="s">
        <v>411</v>
      </c>
      <c r="B210" s="315"/>
      <c r="C210" s="317"/>
      <c r="D210" s="318"/>
      <c r="E210" s="320"/>
      <c r="F210" s="318"/>
      <c r="G210" s="407"/>
      <c r="H210" s="75"/>
      <c r="I210" s="412"/>
      <c r="J210" s="419"/>
      <c r="K210" s="75"/>
      <c r="L210" s="75"/>
      <c r="M210" s="75"/>
      <c r="N210" s="75"/>
      <c r="O210" s="94">
        <v>4</v>
      </c>
      <c r="P210" s="63">
        <v>4</v>
      </c>
      <c r="R210" s="79"/>
      <c r="S210" s="62" t="s">
        <v>407</v>
      </c>
      <c r="T210" s="99" t="s">
        <v>412</v>
      </c>
      <c r="U210" s="69" t="s">
        <v>409</v>
      </c>
      <c r="V210" s="63" t="s">
        <v>413</v>
      </c>
      <c r="W210" s="87" t="s">
        <v>103</v>
      </c>
      <c r="X210" s="87" t="s">
        <v>104</v>
      </c>
    </row>
    <row r="211" spans="1:24" ht="25.5" hidden="1">
      <c r="A211" s="98" t="s">
        <v>414</v>
      </c>
      <c r="B211" s="315"/>
      <c r="C211" s="317"/>
      <c r="D211" s="318"/>
      <c r="E211" s="320"/>
      <c r="F211" s="318"/>
      <c r="G211" s="407"/>
      <c r="H211" s="75"/>
      <c r="I211" s="412"/>
      <c r="J211" s="419"/>
      <c r="K211" s="75"/>
      <c r="L211" s="75"/>
      <c r="M211" s="75"/>
      <c r="N211" s="75"/>
      <c r="O211" s="94">
        <v>5.3</v>
      </c>
      <c r="P211" s="63">
        <v>8</v>
      </c>
      <c r="R211" s="79"/>
      <c r="S211" s="62" t="s">
        <v>407</v>
      </c>
      <c r="T211" s="99" t="s">
        <v>415</v>
      </c>
      <c r="U211" s="69" t="s">
        <v>409</v>
      </c>
      <c r="V211" s="63" t="s">
        <v>416</v>
      </c>
      <c r="W211" s="87" t="s">
        <v>103</v>
      </c>
      <c r="X211" s="87" t="s">
        <v>104</v>
      </c>
    </row>
    <row r="212" spans="1:24" hidden="1">
      <c r="A212" s="98" t="s">
        <v>417</v>
      </c>
      <c r="B212" s="315"/>
      <c r="C212" s="317"/>
      <c r="D212" s="318"/>
      <c r="E212" s="320"/>
      <c r="F212" s="318"/>
      <c r="G212" s="407"/>
      <c r="H212" s="75"/>
      <c r="I212" s="412"/>
      <c r="J212" s="419"/>
      <c r="K212" s="75"/>
      <c r="L212" s="75"/>
      <c r="M212" s="75"/>
      <c r="N212" s="75"/>
      <c r="O212" s="94">
        <v>4</v>
      </c>
      <c r="P212" s="63">
        <v>3</v>
      </c>
      <c r="R212" s="79"/>
      <c r="S212" s="62" t="s">
        <v>402</v>
      </c>
      <c r="T212" s="99" t="s">
        <v>403</v>
      </c>
      <c r="U212" s="69" t="s">
        <v>418</v>
      </c>
      <c r="V212" s="63" t="s">
        <v>419</v>
      </c>
      <c r="W212" s="87" t="s">
        <v>103</v>
      </c>
      <c r="X212" s="87" t="s">
        <v>104</v>
      </c>
    </row>
    <row r="213" spans="1:24" ht="25.5" hidden="1">
      <c r="A213" s="98" t="s">
        <v>420</v>
      </c>
      <c r="B213" s="315"/>
      <c r="C213" s="317"/>
      <c r="D213" s="318"/>
      <c r="E213" s="320"/>
      <c r="F213" s="318"/>
      <c r="G213" s="407"/>
      <c r="H213" s="75"/>
      <c r="I213" s="412"/>
      <c r="J213" s="419"/>
      <c r="K213" s="75"/>
      <c r="L213" s="75"/>
      <c r="M213" s="75"/>
      <c r="N213" s="75"/>
      <c r="O213" s="94">
        <v>6.2</v>
      </c>
      <c r="P213" s="63">
        <v>6</v>
      </c>
      <c r="R213" s="79"/>
      <c r="S213" s="62" t="s">
        <v>421</v>
      </c>
      <c r="T213" s="99" t="s">
        <v>422</v>
      </c>
      <c r="U213" s="69" t="s">
        <v>423</v>
      </c>
      <c r="V213" s="63" t="s">
        <v>424</v>
      </c>
      <c r="W213" s="87" t="s">
        <v>103</v>
      </c>
      <c r="X213" s="87" t="s">
        <v>104</v>
      </c>
    </row>
    <row r="214" spans="1:24" hidden="1">
      <c r="A214" s="98" t="s">
        <v>425</v>
      </c>
      <c r="B214" s="315"/>
      <c r="C214" s="317"/>
      <c r="D214" s="318"/>
      <c r="E214" s="320"/>
      <c r="F214" s="318"/>
      <c r="G214" s="407"/>
      <c r="H214" s="75"/>
      <c r="I214" s="412"/>
      <c r="J214" s="419"/>
      <c r="K214" s="75"/>
      <c r="L214" s="75"/>
      <c r="M214" s="75"/>
      <c r="N214" s="75"/>
      <c r="O214" s="94">
        <v>2.2000000000000002</v>
      </c>
      <c r="P214" s="63">
        <v>3</v>
      </c>
      <c r="R214" s="79"/>
      <c r="S214" s="62" t="s">
        <v>426</v>
      </c>
      <c r="T214" s="99" t="s">
        <v>427</v>
      </c>
      <c r="V214" s="63" t="s">
        <v>428</v>
      </c>
      <c r="W214" s="87" t="s">
        <v>103</v>
      </c>
      <c r="X214" s="87" t="s">
        <v>104</v>
      </c>
    </row>
    <row r="215" spans="1:24" ht="25.5" hidden="1">
      <c r="A215" s="98" t="s">
        <v>429</v>
      </c>
      <c r="B215" s="315"/>
      <c r="C215" s="317"/>
      <c r="D215" s="318"/>
      <c r="E215" s="320"/>
      <c r="F215" s="318"/>
      <c r="G215" s="407"/>
      <c r="H215" s="75"/>
      <c r="I215" s="412"/>
      <c r="J215" s="419"/>
      <c r="K215" s="75"/>
      <c r="L215" s="75"/>
      <c r="M215" s="75"/>
      <c r="N215" s="75"/>
      <c r="O215" s="94">
        <v>6.6</v>
      </c>
      <c r="P215" s="63">
        <v>5</v>
      </c>
      <c r="R215" s="79"/>
      <c r="S215" s="62" t="s">
        <v>430</v>
      </c>
      <c r="T215" s="99" t="s">
        <v>100</v>
      </c>
      <c r="U215" s="63" t="s">
        <v>431</v>
      </c>
      <c r="V215" s="63" t="s">
        <v>432</v>
      </c>
      <c r="W215" s="87" t="s">
        <v>103</v>
      </c>
      <c r="X215" s="87" t="s">
        <v>104</v>
      </c>
    </row>
    <row r="216" spans="1:24" ht="25.5" hidden="1">
      <c r="A216" s="98" t="s">
        <v>429</v>
      </c>
      <c r="B216" s="315"/>
      <c r="C216" s="317"/>
      <c r="D216" s="318"/>
      <c r="E216" s="320"/>
      <c r="F216" s="318"/>
      <c r="G216" s="407"/>
      <c r="H216" s="75"/>
      <c r="I216" s="412"/>
      <c r="J216" s="419"/>
      <c r="K216" s="75"/>
      <c r="L216" s="75"/>
      <c r="M216" s="75"/>
      <c r="N216" s="75"/>
      <c r="O216" s="94">
        <v>6.6</v>
      </c>
      <c r="P216" s="63">
        <v>5</v>
      </c>
      <c r="R216" s="79"/>
      <c r="S216" s="62" t="s">
        <v>430</v>
      </c>
      <c r="T216" s="99" t="s">
        <v>100</v>
      </c>
      <c r="U216" s="63" t="s">
        <v>431</v>
      </c>
      <c r="V216" s="63" t="s">
        <v>432</v>
      </c>
      <c r="W216" s="87" t="s">
        <v>103</v>
      </c>
      <c r="X216" s="87" t="s">
        <v>104</v>
      </c>
    </row>
    <row r="217" spans="1:24" ht="25.5" hidden="1">
      <c r="A217" s="98" t="s">
        <v>433</v>
      </c>
      <c r="B217" s="315"/>
      <c r="C217" s="317"/>
      <c r="D217" s="318"/>
      <c r="E217" s="320"/>
      <c r="F217" s="318"/>
      <c r="G217" s="407"/>
      <c r="H217" s="75"/>
      <c r="I217" s="412"/>
      <c r="J217" s="419"/>
      <c r="K217" s="75"/>
      <c r="L217" s="75"/>
      <c r="M217" s="75"/>
      <c r="N217" s="75"/>
      <c r="O217" s="94">
        <v>7.1</v>
      </c>
      <c r="P217" s="63">
        <v>8</v>
      </c>
      <c r="R217" s="79"/>
      <c r="S217" s="62" t="s">
        <v>434</v>
      </c>
      <c r="T217" s="99" t="s">
        <v>113</v>
      </c>
      <c r="U217" s="63" t="s">
        <v>435</v>
      </c>
      <c r="V217" s="63" t="s">
        <v>436</v>
      </c>
      <c r="W217" s="87" t="s">
        <v>437</v>
      </c>
      <c r="X217" s="87" t="s">
        <v>437</v>
      </c>
    </row>
    <row r="218" spans="1:24" ht="25.5" hidden="1">
      <c r="A218" s="98" t="s">
        <v>433</v>
      </c>
      <c r="B218" s="315"/>
      <c r="C218" s="317"/>
      <c r="D218" s="318"/>
      <c r="E218" s="320"/>
      <c r="F218" s="318"/>
      <c r="G218" s="407"/>
      <c r="H218" s="75"/>
      <c r="I218" s="412"/>
      <c r="J218" s="419"/>
      <c r="K218" s="75"/>
      <c r="L218" s="75"/>
      <c r="M218" s="75"/>
      <c r="N218" s="75"/>
      <c r="O218" s="94">
        <v>7.1</v>
      </c>
      <c r="P218" s="63">
        <v>8</v>
      </c>
      <c r="R218" s="79"/>
      <c r="S218" s="62" t="s">
        <v>434</v>
      </c>
      <c r="T218" s="99" t="s">
        <v>113</v>
      </c>
      <c r="U218" s="63" t="s">
        <v>435</v>
      </c>
      <c r="V218" s="63" t="s">
        <v>436</v>
      </c>
      <c r="W218" s="87" t="s">
        <v>437</v>
      </c>
      <c r="X218" s="87" t="s">
        <v>437</v>
      </c>
    </row>
    <row r="219" spans="1:24" hidden="1">
      <c r="A219" s="98" t="s">
        <v>438</v>
      </c>
      <c r="B219" s="315"/>
      <c r="C219" s="317"/>
      <c r="D219" s="318"/>
      <c r="E219" s="320"/>
      <c r="F219" s="318"/>
      <c r="G219" s="407"/>
      <c r="H219" s="75"/>
      <c r="I219" s="412"/>
      <c r="J219" s="419"/>
      <c r="K219" s="75"/>
      <c r="L219" s="75"/>
      <c r="M219" s="75"/>
      <c r="N219" s="75"/>
      <c r="O219" s="94">
        <v>5.0999999999999996</v>
      </c>
      <c r="P219" s="63">
        <v>4</v>
      </c>
      <c r="R219" s="79"/>
      <c r="S219" s="62" t="s">
        <v>434</v>
      </c>
      <c r="T219" s="99" t="s">
        <v>113</v>
      </c>
      <c r="U219" s="63" t="s">
        <v>439</v>
      </c>
      <c r="V219" s="63" t="s">
        <v>440</v>
      </c>
      <c r="W219" s="87" t="s">
        <v>437</v>
      </c>
      <c r="X219" s="87" t="s">
        <v>437</v>
      </c>
    </row>
    <row r="220" spans="1:24" hidden="1">
      <c r="A220" s="98" t="s">
        <v>438</v>
      </c>
      <c r="B220" s="315"/>
      <c r="C220" s="317"/>
      <c r="D220" s="318"/>
      <c r="E220" s="320"/>
      <c r="F220" s="318"/>
      <c r="G220" s="407"/>
      <c r="H220" s="75"/>
      <c r="I220" s="412"/>
      <c r="J220" s="419"/>
      <c r="K220" s="75"/>
      <c r="L220" s="75"/>
      <c r="M220" s="75"/>
      <c r="N220" s="75"/>
      <c r="O220" s="94">
        <v>5.0999999999999996</v>
      </c>
      <c r="P220" s="63">
        <v>4</v>
      </c>
      <c r="R220" s="79"/>
      <c r="S220" s="62" t="s">
        <v>434</v>
      </c>
      <c r="T220" s="99" t="s">
        <v>113</v>
      </c>
      <c r="U220" s="63" t="s">
        <v>439</v>
      </c>
      <c r="V220" s="63" t="s">
        <v>440</v>
      </c>
      <c r="W220" s="87" t="s">
        <v>437</v>
      </c>
      <c r="X220" s="87" t="s">
        <v>437</v>
      </c>
    </row>
    <row r="221" spans="1:24" hidden="1">
      <c r="A221" s="98" t="s">
        <v>441</v>
      </c>
      <c r="B221" s="315"/>
      <c r="C221" s="317"/>
      <c r="D221" s="318"/>
      <c r="E221" s="320"/>
      <c r="F221" s="318"/>
      <c r="G221" s="407"/>
      <c r="H221" s="75"/>
      <c r="I221" s="412"/>
      <c r="J221" s="419"/>
      <c r="K221" s="75"/>
      <c r="L221" s="75"/>
      <c r="M221" s="75"/>
      <c r="N221" s="75"/>
      <c r="O221" s="94">
        <v>4.5</v>
      </c>
      <c r="P221" s="63">
        <v>5</v>
      </c>
      <c r="R221" s="79"/>
      <c r="S221" s="62" t="s">
        <v>442</v>
      </c>
      <c r="T221" s="99" t="s">
        <v>443</v>
      </c>
      <c r="V221" s="63" t="s">
        <v>444</v>
      </c>
      <c r="W221" s="87" t="s">
        <v>437</v>
      </c>
      <c r="X221" s="87" t="s">
        <v>437</v>
      </c>
    </row>
    <row r="222" spans="1:24" hidden="1">
      <c r="A222" s="98" t="s">
        <v>445</v>
      </c>
      <c r="B222" s="315"/>
      <c r="C222" s="317"/>
      <c r="D222" s="318"/>
      <c r="E222" s="320"/>
      <c r="F222" s="318"/>
      <c r="G222" s="407"/>
      <c r="H222" s="75"/>
      <c r="I222" s="412"/>
      <c r="J222" s="419"/>
      <c r="K222" s="75"/>
      <c r="L222" s="75"/>
      <c r="M222" s="75"/>
      <c r="N222" s="75"/>
      <c r="O222" s="94">
        <v>2</v>
      </c>
      <c r="R222" s="79"/>
      <c r="S222" s="62" t="s">
        <v>442</v>
      </c>
      <c r="T222" s="99" t="s">
        <v>446</v>
      </c>
      <c r="W222" s="87" t="s">
        <v>437</v>
      </c>
      <c r="X222" s="87" t="s">
        <v>437</v>
      </c>
    </row>
    <row r="223" spans="1:24" hidden="1">
      <c r="A223" s="98" t="s">
        <v>447</v>
      </c>
      <c r="B223" s="315"/>
      <c r="C223" s="317"/>
      <c r="D223" s="318"/>
      <c r="E223" s="320"/>
      <c r="F223" s="318"/>
      <c r="G223" s="407"/>
      <c r="H223" s="75"/>
      <c r="I223" s="412"/>
      <c r="J223" s="419"/>
      <c r="K223" s="75"/>
      <c r="L223" s="75"/>
      <c r="M223" s="75"/>
      <c r="N223" s="75"/>
      <c r="O223" s="94">
        <v>2.5</v>
      </c>
      <c r="P223" s="63">
        <v>5</v>
      </c>
      <c r="R223" s="79"/>
      <c r="S223" s="62" t="s">
        <v>442</v>
      </c>
      <c r="T223" s="99" t="s">
        <v>448</v>
      </c>
      <c r="V223" s="63" t="s">
        <v>449</v>
      </c>
      <c r="W223" s="87" t="s">
        <v>437</v>
      </c>
      <c r="X223" s="87" t="s">
        <v>437</v>
      </c>
    </row>
    <row r="224" spans="1:24" hidden="1">
      <c r="A224" s="98" t="s">
        <v>450</v>
      </c>
      <c r="B224" s="315"/>
      <c r="C224" s="317"/>
      <c r="D224" s="318"/>
      <c r="E224" s="320"/>
      <c r="F224" s="318"/>
      <c r="G224" s="407"/>
      <c r="H224" s="75"/>
      <c r="I224" s="412"/>
      <c r="J224" s="419"/>
      <c r="K224" s="75"/>
      <c r="L224" s="75"/>
      <c r="M224" s="75"/>
      <c r="N224" s="75"/>
      <c r="O224" s="94">
        <v>7.1</v>
      </c>
      <c r="P224" s="63">
        <v>3</v>
      </c>
      <c r="R224" s="79"/>
      <c r="S224" s="62" t="s">
        <v>451</v>
      </c>
      <c r="T224" s="99" t="s">
        <v>113</v>
      </c>
      <c r="U224" s="63" t="s">
        <v>452</v>
      </c>
      <c r="V224" s="63" t="s">
        <v>453</v>
      </c>
      <c r="W224" s="87" t="s">
        <v>437</v>
      </c>
      <c r="X224" s="87" t="s">
        <v>437</v>
      </c>
    </row>
    <row r="225" spans="1:24" hidden="1">
      <c r="A225" s="98" t="s">
        <v>450</v>
      </c>
      <c r="B225" s="315"/>
      <c r="C225" s="317"/>
      <c r="D225" s="318"/>
      <c r="E225" s="320"/>
      <c r="F225" s="318"/>
      <c r="G225" s="407"/>
      <c r="H225" s="75"/>
      <c r="I225" s="412"/>
      <c r="J225" s="419"/>
      <c r="K225" s="75"/>
      <c r="L225" s="75"/>
      <c r="M225" s="75"/>
      <c r="N225" s="75"/>
      <c r="O225" s="94">
        <v>7.1</v>
      </c>
      <c r="P225" s="63">
        <v>3</v>
      </c>
      <c r="R225" s="79"/>
      <c r="S225" s="62" t="s">
        <v>451</v>
      </c>
      <c r="T225" s="99" t="s">
        <v>113</v>
      </c>
      <c r="U225" s="63" t="s">
        <v>452</v>
      </c>
      <c r="V225" s="63" t="s">
        <v>453</v>
      </c>
      <c r="W225" s="87" t="s">
        <v>437</v>
      </c>
      <c r="X225" s="87" t="s">
        <v>437</v>
      </c>
    </row>
    <row r="226" spans="1:24" hidden="1">
      <c r="A226" s="98" t="s">
        <v>454</v>
      </c>
      <c r="B226" s="315"/>
      <c r="C226" s="317"/>
      <c r="D226" s="318"/>
      <c r="E226" s="320"/>
      <c r="F226" s="318"/>
      <c r="G226" s="407"/>
      <c r="H226" s="75"/>
      <c r="I226" s="412"/>
      <c r="J226" s="419"/>
      <c r="K226" s="75"/>
      <c r="L226" s="75"/>
      <c r="M226" s="75"/>
      <c r="N226" s="75"/>
      <c r="O226" s="94">
        <v>4</v>
      </c>
      <c r="P226" s="63">
        <v>2</v>
      </c>
      <c r="R226" s="79"/>
      <c r="S226" s="62" t="s">
        <v>455</v>
      </c>
      <c r="T226" s="99" t="s">
        <v>113</v>
      </c>
      <c r="U226" s="63" t="s">
        <v>456</v>
      </c>
      <c r="V226" s="63" t="s">
        <v>457</v>
      </c>
      <c r="W226" s="87" t="s">
        <v>437</v>
      </c>
      <c r="X226" s="87" t="s">
        <v>437</v>
      </c>
    </row>
    <row r="227" spans="1:24" hidden="1">
      <c r="A227" s="98" t="s">
        <v>454</v>
      </c>
      <c r="B227" s="315"/>
      <c r="C227" s="317"/>
      <c r="D227" s="318"/>
      <c r="E227" s="320"/>
      <c r="F227" s="318"/>
      <c r="G227" s="407"/>
      <c r="H227" s="75"/>
      <c r="I227" s="412"/>
      <c r="J227" s="419"/>
      <c r="K227" s="75"/>
      <c r="L227" s="75"/>
      <c r="M227" s="75"/>
      <c r="N227" s="75"/>
      <c r="O227" s="94">
        <v>4</v>
      </c>
      <c r="P227" s="63">
        <v>2</v>
      </c>
      <c r="R227" s="79"/>
      <c r="S227" s="62" t="s">
        <v>455</v>
      </c>
      <c r="T227" s="99" t="s">
        <v>113</v>
      </c>
      <c r="U227" s="63" t="s">
        <v>456</v>
      </c>
      <c r="V227" s="63" t="s">
        <v>457</v>
      </c>
      <c r="W227" s="87" t="s">
        <v>437</v>
      </c>
      <c r="X227" s="87" t="s">
        <v>437</v>
      </c>
    </row>
    <row r="228" spans="1:24" ht="25.5" hidden="1">
      <c r="A228" s="98" t="s">
        <v>458</v>
      </c>
      <c r="B228" s="315"/>
      <c r="C228" s="317"/>
      <c r="D228" s="318"/>
      <c r="E228" s="320"/>
      <c r="F228" s="318"/>
      <c r="G228" s="407"/>
      <c r="H228" s="75"/>
      <c r="I228" s="412"/>
      <c r="J228" s="419"/>
      <c r="K228" s="75"/>
      <c r="L228" s="75"/>
      <c r="M228" s="75"/>
      <c r="N228" s="75"/>
      <c r="O228" s="94">
        <v>5.2</v>
      </c>
      <c r="P228" s="63">
        <v>7</v>
      </c>
      <c r="R228" s="79"/>
      <c r="S228" s="62" t="s">
        <v>459</v>
      </c>
      <c r="T228" s="99" t="s">
        <v>113</v>
      </c>
      <c r="U228" s="63" t="s">
        <v>460</v>
      </c>
      <c r="V228" s="63" t="s">
        <v>461</v>
      </c>
      <c r="W228" s="87" t="s">
        <v>437</v>
      </c>
      <c r="X228" s="87" t="s">
        <v>437</v>
      </c>
    </row>
    <row r="229" spans="1:24" ht="25.5" hidden="1">
      <c r="A229" s="98" t="s">
        <v>458</v>
      </c>
      <c r="B229" s="315"/>
      <c r="C229" s="317"/>
      <c r="D229" s="318"/>
      <c r="E229" s="320"/>
      <c r="F229" s="318"/>
      <c r="G229" s="407"/>
      <c r="H229" s="75"/>
      <c r="I229" s="412"/>
      <c r="J229" s="419"/>
      <c r="K229" s="75"/>
      <c r="L229" s="75"/>
      <c r="M229" s="75"/>
      <c r="N229" s="75"/>
      <c r="O229" s="94">
        <v>5.2</v>
      </c>
      <c r="P229" s="63">
        <v>7</v>
      </c>
      <c r="R229" s="79"/>
      <c r="S229" s="62" t="s">
        <v>459</v>
      </c>
      <c r="T229" s="99" t="s">
        <v>113</v>
      </c>
      <c r="U229" s="63" t="s">
        <v>460</v>
      </c>
      <c r="V229" s="63" t="s">
        <v>461</v>
      </c>
      <c r="W229" s="87" t="s">
        <v>437</v>
      </c>
      <c r="X229" s="87" t="s">
        <v>437</v>
      </c>
    </row>
    <row r="230" spans="1:24" ht="38.25" hidden="1">
      <c r="A230" s="98" t="s">
        <v>462</v>
      </c>
      <c r="B230" s="315"/>
      <c r="C230" s="317"/>
      <c r="D230" s="318"/>
      <c r="E230" s="320"/>
      <c r="F230" s="318"/>
      <c r="G230" s="407"/>
      <c r="H230" s="75"/>
      <c r="I230" s="412"/>
      <c r="J230" s="419"/>
      <c r="K230" s="75"/>
      <c r="L230" s="75"/>
      <c r="M230" s="75"/>
      <c r="N230" s="75"/>
      <c r="O230" s="94">
        <v>3.7</v>
      </c>
      <c r="P230" s="63">
        <v>12</v>
      </c>
      <c r="R230" s="79"/>
      <c r="S230" s="62" t="s">
        <v>463</v>
      </c>
      <c r="T230" s="99" t="s">
        <v>464</v>
      </c>
      <c r="V230" s="63" t="s">
        <v>465</v>
      </c>
      <c r="W230" s="87" t="s">
        <v>437</v>
      </c>
      <c r="X230" s="87" t="s">
        <v>437</v>
      </c>
    </row>
    <row r="231" spans="1:24" ht="25.5" hidden="1">
      <c r="A231" s="98" t="s">
        <v>466</v>
      </c>
      <c r="B231" s="315"/>
      <c r="C231" s="317"/>
      <c r="D231" s="318"/>
      <c r="E231" s="320"/>
      <c r="F231" s="318"/>
      <c r="G231" s="407"/>
      <c r="H231" s="75"/>
      <c r="I231" s="412"/>
      <c r="J231" s="419"/>
      <c r="K231" s="75"/>
      <c r="L231" s="75"/>
      <c r="M231" s="75"/>
      <c r="N231" s="75"/>
      <c r="O231" s="94">
        <v>1.7</v>
      </c>
      <c r="P231" s="63">
        <v>6</v>
      </c>
      <c r="R231" s="79"/>
      <c r="S231" s="62" t="s">
        <v>463</v>
      </c>
      <c r="T231" s="99" t="s">
        <v>467</v>
      </c>
      <c r="V231" s="63" t="s">
        <v>468</v>
      </c>
      <c r="W231" s="87" t="s">
        <v>437</v>
      </c>
      <c r="X231" s="87" t="s">
        <v>437</v>
      </c>
    </row>
    <row r="232" spans="1:24" ht="51" hidden="1">
      <c r="A232" s="98" t="s">
        <v>469</v>
      </c>
      <c r="B232" s="315"/>
      <c r="C232" s="317"/>
      <c r="D232" s="318"/>
      <c r="E232" s="320"/>
      <c r="F232" s="318"/>
      <c r="G232" s="407"/>
      <c r="H232" s="75"/>
      <c r="I232" s="412"/>
      <c r="J232" s="419"/>
      <c r="K232" s="75"/>
      <c r="L232" s="75"/>
      <c r="M232" s="75"/>
      <c r="N232" s="75"/>
      <c r="O232" s="94">
        <v>5.3</v>
      </c>
      <c r="P232" s="63">
        <v>18</v>
      </c>
      <c r="R232" s="79"/>
      <c r="S232" s="62" t="s">
        <v>463</v>
      </c>
      <c r="T232" s="99" t="s">
        <v>470</v>
      </c>
      <c r="V232" s="63" t="s">
        <v>471</v>
      </c>
      <c r="W232" s="87" t="s">
        <v>437</v>
      </c>
      <c r="X232" s="87" t="s">
        <v>437</v>
      </c>
    </row>
    <row r="233" spans="1:24" hidden="1">
      <c r="A233" s="98" t="s">
        <v>472</v>
      </c>
      <c r="B233" s="315"/>
      <c r="C233" s="317"/>
      <c r="D233" s="318"/>
      <c r="E233" s="320"/>
      <c r="F233" s="318"/>
      <c r="G233" s="407"/>
      <c r="H233" s="75"/>
      <c r="I233" s="412"/>
      <c r="J233" s="419"/>
      <c r="K233" s="75"/>
      <c r="L233" s="75"/>
      <c r="M233" s="75"/>
      <c r="N233" s="75"/>
      <c r="O233" s="94">
        <v>5</v>
      </c>
      <c r="R233" s="79"/>
      <c r="S233" s="62" t="s">
        <v>473</v>
      </c>
      <c r="T233" s="99" t="s">
        <v>113</v>
      </c>
      <c r="U233" s="63" t="s">
        <v>474</v>
      </c>
      <c r="W233" s="87" t="s">
        <v>437</v>
      </c>
      <c r="X233" s="87" t="s">
        <v>437</v>
      </c>
    </row>
    <row r="234" spans="1:24" hidden="1">
      <c r="A234" s="98" t="s">
        <v>472</v>
      </c>
      <c r="B234" s="315"/>
      <c r="C234" s="317"/>
      <c r="D234" s="318"/>
      <c r="E234" s="320"/>
      <c r="F234" s="318"/>
      <c r="G234" s="407"/>
      <c r="H234" s="75"/>
      <c r="I234" s="412"/>
      <c r="J234" s="419"/>
      <c r="K234" s="75"/>
      <c r="L234" s="75"/>
      <c r="M234" s="75"/>
      <c r="N234" s="75"/>
      <c r="O234" s="94">
        <v>5</v>
      </c>
      <c r="R234" s="79"/>
      <c r="S234" s="62" t="s">
        <v>473</v>
      </c>
      <c r="T234" s="99" t="s">
        <v>113</v>
      </c>
      <c r="U234" s="63" t="s">
        <v>474</v>
      </c>
      <c r="W234" s="87" t="s">
        <v>437</v>
      </c>
      <c r="X234" s="87" t="s">
        <v>437</v>
      </c>
    </row>
    <row r="235" spans="1:24" hidden="1">
      <c r="A235" s="98" t="s">
        <v>475</v>
      </c>
      <c r="B235" s="315"/>
      <c r="C235" s="317"/>
      <c r="D235" s="318"/>
      <c r="E235" s="320"/>
      <c r="F235" s="318"/>
      <c r="G235" s="407"/>
      <c r="H235" s="75"/>
      <c r="I235" s="412"/>
      <c r="J235" s="419"/>
      <c r="K235" s="75"/>
      <c r="L235" s="75"/>
      <c r="M235" s="75"/>
      <c r="N235" s="75"/>
      <c r="O235" s="94">
        <v>7.1</v>
      </c>
      <c r="P235" s="63">
        <v>6</v>
      </c>
      <c r="R235" s="79"/>
      <c r="S235" s="62" t="s">
        <v>473</v>
      </c>
      <c r="T235" s="99" t="s">
        <v>113</v>
      </c>
      <c r="U235" s="63" t="s">
        <v>476</v>
      </c>
      <c r="V235" s="63" t="s">
        <v>477</v>
      </c>
      <c r="W235" s="87" t="s">
        <v>437</v>
      </c>
      <c r="X235" s="87" t="s">
        <v>437</v>
      </c>
    </row>
    <row r="236" spans="1:24" hidden="1">
      <c r="A236" s="98" t="s">
        <v>475</v>
      </c>
      <c r="B236" s="315"/>
      <c r="C236" s="317"/>
      <c r="D236" s="318"/>
      <c r="E236" s="320"/>
      <c r="F236" s="318"/>
      <c r="G236" s="407"/>
      <c r="H236" s="75"/>
      <c r="I236" s="412"/>
      <c r="J236" s="419"/>
      <c r="K236" s="75"/>
      <c r="L236" s="75"/>
      <c r="M236" s="75"/>
      <c r="N236" s="75"/>
      <c r="O236" s="94">
        <v>7.1</v>
      </c>
      <c r="P236" s="63">
        <v>6</v>
      </c>
      <c r="R236" s="79"/>
      <c r="S236" s="62" t="s">
        <v>473</v>
      </c>
      <c r="T236" s="99" t="s">
        <v>113</v>
      </c>
      <c r="U236" s="63" t="s">
        <v>476</v>
      </c>
      <c r="V236" s="63" t="s">
        <v>477</v>
      </c>
      <c r="W236" s="87" t="s">
        <v>437</v>
      </c>
      <c r="X236" s="87" t="s">
        <v>437</v>
      </c>
    </row>
    <row r="237" spans="1:24" hidden="1">
      <c r="A237" s="98" t="s">
        <v>478</v>
      </c>
      <c r="B237" s="315"/>
      <c r="C237" s="317"/>
      <c r="D237" s="318"/>
      <c r="E237" s="320"/>
      <c r="F237" s="318"/>
      <c r="G237" s="407"/>
      <c r="H237" s="75"/>
      <c r="I237" s="412"/>
      <c r="J237" s="419"/>
      <c r="K237" s="75"/>
      <c r="L237" s="75"/>
      <c r="M237" s="75"/>
      <c r="N237" s="75"/>
      <c r="O237" s="94">
        <v>4</v>
      </c>
      <c r="R237" s="79"/>
      <c r="S237" s="62" t="s">
        <v>473</v>
      </c>
      <c r="T237" s="99" t="s">
        <v>113</v>
      </c>
      <c r="U237" s="63" t="s">
        <v>479</v>
      </c>
      <c r="W237" s="87" t="s">
        <v>437</v>
      </c>
      <c r="X237" s="87" t="s">
        <v>437</v>
      </c>
    </row>
    <row r="238" spans="1:24" hidden="1">
      <c r="A238" s="98" t="s">
        <v>478</v>
      </c>
      <c r="B238" s="315"/>
      <c r="C238" s="317"/>
      <c r="D238" s="318"/>
      <c r="E238" s="320"/>
      <c r="F238" s="318"/>
      <c r="G238" s="407"/>
      <c r="H238" s="75"/>
      <c r="I238" s="412"/>
      <c r="J238" s="419"/>
      <c r="K238" s="75"/>
      <c r="L238" s="75"/>
      <c r="M238" s="75"/>
      <c r="N238" s="75"/>
      <c r="O238" s="94">
        <v>4</v>
      </c>
      <c r="R238" s="79"/>
      <c r="S238" s="62" t="s">
        <v>473</v>
      </c>
      <c r="T238" s="99" t="s">
        <v>113</v>
      </c>
      <c r="U238" s="63" t="s">
        <v>479</v>
      </c>
      <c r="W238" s="87" t="s">
        <v>437</v>
      </c>
      <c r="X238" s="87" t="s">
        <v>437</v>
      </c>
    </row>
    <row r="239" spans="1:24" hidden="1">
      <c r="A239" s="98" t="s">
        <v>480</v>
      </c>
      <c r="B239" s="315"/>
      <c r="C239" s="317"/>
      <c r="D239" s="318"/>
      <c r="E239" s="320"/>
      <c r="F239" s="318"/>
      <c r="G239" s="407"/>
      <c r="H239" s="75"/>
      <c r="I239" s="412"/>
      <c r="J239" s="419"/>
      <c r="K239" s="75"/>
      <c r="L239" s="75"/>
      <c r="M239" s="75"/>
      <c r="N239" s="75"/>
      <c r="O239" s="94">
        <v>3</v>
      </c>
      <c r="R239" s="79"/>
      <c r="S239" s="62" t="s">
        <v>473</v>
      </c>
      <c r="T239" s="99" t="s">
        <v>113</v>
      </c>
      <c r="U239" s="63" t="s">
        <v>481</v>
      </c>
      <c r="W239" s="87" t="s">
        <v>437</v>
      </c>
      <c r="X239" s="87" t="s">
        <v>437</v>
      </c>
    </row>
    <row r="240" spans="1:24" hidden="1">
      <c r="A240" s="98" t="s">
        <v>480</v>
      </c>
      <c r="B240" s="315"/>
      <c r="C240" s="317"/>
      <c r="D240" s="318"/>
      <c r="E240" s="320"/>
      <c r="F240" s="318"/>
      <c r="G240" s="407"/>
      <c r="H240" s="75"/>
      <c r="I240" s="412"/>
      <c r="J240" s="419"/>
      <c r="K240" s="75"/>
      <c r="L240" s="75"/>
      <c r="M240" s="75"/>
      <c r="N240" s="75"/>
      <c r="O240" s="94">
        <v>3</v>
      </c>
      <c r="R240" s="79"/>
      <c r="S240" s="62" t="s">
        <v>473</v>
      </c>
      <c r="T240" s="99" t="s">
        <v>113</v>
      </c>
      <c r="U240" s="63" t="s">
        <v>481</v>
      </c>
      <c r="W240" s="87" t="s">
        <v>437</v>
      </c>
      <c r="X240" s="87" t="s">
        <v>437</v>
      </c>
    </row>
    <row r="241" spans="1:24" hidden="1">
      <c r="A241" s="98" t="s">
        <v>482</v>
      </c>
      <c r="B241" s="315"/>
      <c r="C241" s="317"/>
      <c r="D241" s="318"/>
      <c r="E241" s="320"/>
      <c r="F241" s="318"/>
      <c r="G241" s="407"/>
      <c r="H241" s="75"/>
      <c r="I241" s="412"/>
      <c r="J241" s="419"/>
      <c r="K241" s="75"/>
      <c r="L241" s="75"/>
      <c r="M241" s="75"/>
      <c r="N241" s="75"/>
      <c r="O241" s="94">
        <v>3.1</v>
      </c>
      <c r="P241" s="63">
        <v>2</v>
      </c>
      <c r="R241" s="79"/>
      <c r="S241" s="62" t="s">
        <v>473</v>
      </c>
      <c r="T241" s="99" t="s">
        <v>113</v>
      </c>
      <c r="U241" s="63" t="s">
        <v>483</v>
      </c>
      <c r="V241" s="63" t="s">
        <v>484</v>
      </c>
      <c r="W241" s="87" t="s">
        <v>437</v>
      </c>
      <c r="X241" s="87" t="s">
        <v>437</v>
      </c>
    </row>
    <row r="242" spans="1:24" hidden="1">
      <c r="A242" s="98" t="s">
        <v>482</v>
      </c>
      <c r="B242" s="315"/>
      <c r="C242" s="317"/>
      <c r="D242" s="318"/>
      <c r="E242" s="320"/>
      <c r="F242" s="318"/>
      <c r="G242" s="407"/>
      <c r="H242" s="75"/>
      <c r="I242" s="412"/>
      <c r="J242" s="419"/>
      <c r="K242" s="75"/>
      <c r="L242" s="75"/>
      <c r="M242" s="75"/>
      <c r="N242" s="75"/>
      <c r="O242" s="94">
        <v>3.1</v>
      </c>
      <c r="P242" s="63">
        <v>2</v>
      </c>
      <c r="R242" s="79"/>
      <c r="S242" s="62" t="s">
        <v>473</v>
      </c>
      <c r="T242" s="99" t="s">
        <v>113</v>
      </c>
      <c r="U242" s="63" t="s">
        <v>483</v>
      </c>
      <c r="V242" s="63" t="s">
        <v>484</v>
      </c>
      <c r="W242" s="87" t="s">
        <v>437</v>
      </c>
      <c r="X242" s="87" t="s">
        <v>437</v>
      </c>
    </row>
    <row r="243" spans="1:24" hidden="1">
      <c r="A243" s="98" t="s">
        <v>485</v>
      </c>
      <c r="B243" s="315"/>
      <c r="C243" s="317"/>
      <c r="D243" s="318"/>
      <c r="E243" s="320"/>
      <c r="F243" s="318"/>
      <c r="G243" s="407"/>
      <c r="H243" s="75"/>
      <c r="I243" s="412"/>
      <c r="J243" s="419"/>
      <c r="K243" s="75"/>
      <c r="L243" s="75"/>
      <c r="M243" s="75"/>
      <c r="N243" s="75"/>
      <c r="O243" s="94">
        <v>6.1</v>
      </c>
      <c r="P243" s="63">
        <v>2</v>
      </c>
      <c r="R243" s="79"/>
      <c r="S243" s="62" t="s">
        <v>473</v>
      </c>
      <c r="T243" s="99" t="s">
        <v>113</v>
      </c>
      <c r="U243" s="63" t="s">
        <v>486</v>
      </c>
      <c r="V243" s="63" t="s">
        <v>484</v>
      </c>
      <c r="W243" s="87" t="s">
        <v>437</v>
      </c>
      <c r="X243" s="87" t="s">
        <v>437</v>
      </c>
    </row>
    <row r="244" spans="1:24" hidden="1">
      <c r="A244" s="98" t="s">
        <v>485</v>
      </c>
      <c r="B244" s="315"/>
      <c r="C244" s="317"/>
      <c r="D244" s="318"/>
      <c r="E244" s="320"/>
      <c r="F244" s="318"/>
      <c r="G244" s="407"/>
      <c r="H244" s="75"/>
      <c r="I244" s="412"/>
      <c r="J244" s="419"/>
      <c r="K244" s="75"/>
      <c r="L244" s="75"/>
      <c r="M244" s="75"/>
      <c r="N244" s="75"/>
      <c r="O244" s="94">
        <v>6.1</v>
      </c>
      <c r="P244" s="63">
        <v>2</v>
      </c>
      <c r="R244" s="79"/>
      <c r="S244" s="62" t="s">
        <v>473</v>
      </c>
      <c r="T244" s="99" t="s">
        <v>113</v>
      </c>
      <c r="U244" s="63" t="s">
        <v>486</v>
      </c>
      <c r="V244" s="63" t="s">
        <v>484</v>
      </c>
      <c r="W244" s="87" t="s">
        <v>437</v>
      </c>
      <c r="X244" s="87" t="s">
        <v>437</v>
      </c>
    </row>
    <row r="245" spans="1:24" hidden="1">
      <c r="A245" s="98" t="s">
        <v>487</v>
      </c>
      <c r="B245" s="315"/>
      <c r="C245" s="317"/>
      <c r="D245" s="318"/>
      <c r="E245" s="320"/>
      <c r="F245" s="318"/>
      <c r="G245" s="407"/>
      <c r="H245" s="75"/>
      <c r="I245" s="412"/>
      <c r="J245" s="419"/>
      <c r="K245" s="75"/>
      <c r="L245" s="75"/>
      <c r="M245" s="75"/>
      <c r="N245" s="75"/>
      <c r="O245" s="94">
        <v>3.4</v>
      </c>
      <c r="P245" s="63">
        <v>4</v>
      </c>
      <c r="R245" s="79"/>
      <c r="S245" s="62" t="s">
        <v>488</v>
      </c>
      <c r="T245" s="99" t="s">
        <v>489</v>
      </c>
      <c r="V245" s="63" t="s">
        <v>490</v>
      </c>
      <c r="W245" s="87" t="s">
        <v>437</v>
      </c>
      <c r="X245" s="87" t="s">
        <v>437</v>
      </c>
    </row>
    <row r="246" spans="1:24" ht="25.5" hidden="1">
      <c r="A246" s="98" t="s">
        <v>491</v>
      </c>
      <c r="B246" s="315"/>
      <c r="C246" s="317"/>
      <c r="D246" s="318"/>
      <c r="E246" s="320"/>
      <c r="F246" s="318"/>
      <c r="G246" s="407"/>
      <c r="H246" s="75"/>
      <c r="I246" s="412"/>
      <c r="J246" s="419"/>
      <c r="K246" s="75"/>
      <c r="L246" s="75"/>
      <c r="M246" s="75"/>
      <c r="N246" s="75"/>
      <c r="O246" s="94">
        <v>16.2</v>
      </c>
      <c r="P246" s="63">
        <v>11</v>
      </c>
      <c r="R246" s="79"/>
      <c r="S246" s="62" t="s">
        <v>492</v>
      </c>
      <c r="T246" s="99" t="s">
        <v>398</v>
      </c>
      <c r="U246" s="63" t="s">
        <v>493</v>
      </c>
      <c r="V246" s="63" t="s">
        <v>494</v>
      </c>
      <c r="W246" s="87" t="s">
        <v>437</v>
      </c>
      <c r="X246" s="87" t="s">
        <v>437</v>
      </c>
    </row>
    <row r="247" spans="1:24" ht="25.5" hidden="1">
      <c r="A247" s="98" t="s">
        <v>491</v>
      </c>
      <c r="B247" s="315"/>
      <c r="C247" s="317"/>
      <c r="D247" s="318"/>
      <c r="E247" s="320"/>
      <c r="F247" s="318"/>
      <c r="G247" s="407"/>
      <c r="H247" s="75"/>
      <c r="I247" s="412"/>
      <c r="J247" s="419"/>
      <c r="K247" s="75"/>
      <c r="L247" s="75"/>
      <c r="M247" s="75"/>
      <c r="N247" s="75"/>
      <c r="O247" s="94">
        <v>16.2</v>
      </c>
      <c r="P247" s="63">
        <v>11</v>
      </c>
      <c r="R247" s="79"/>
      <c r="S247" s="62" t="s">
        <v>492</v>
      </c>
      <c r="T247" s="99" t="s">
        <v>398</v>
      </c>
      <c r="U247" s="63" t="s">
        <v>493</v>
      </c>
      <c r="V247" s="63" t="s">
        <v>494</v>
      </c>
      <c r="W247" s="87" t="s">
        <v>437</v>
      </c>
      <c r="X247" s="87" t="s">
        <v>437</v>
      </c>
    </row>
    <row r="248" spans="1:24" ht="25.5" hidden="1">
      <c r="A248" s="98" t="s">
        <v>495</v>
      </c>
      <c r="B248" s="315"/>
      <c r="C248" s="317"/>
      <c r="D248" s="318"/>
      <c r="E248" s="320"/>
      <c r="F248" s="318"/>
      <c r="G248" s="407"/>
      <c r="H248" s="75"/>
      <c r="I248" s="412"/>
      <c r="J248" s="419"/>
      <c r="K248" s="75"/>
      <c r="L248" s="75"/>
      <c r="M248" s="75"/>
      <c r="N248" s="75"/>
      <c r="O248" s="94">
        <v>8.1</v>
      </c>
      <c r="P248" s="63">
        <v>6</v>
      </c>
      <c r="R248" s="79"/>
      <c r="S248" s="62" t="s">
        <v>492</v>
      </c>
      <c r="T248" s="99" t="s">
        <v>113</v>
      </c>
      <c r="U248" s="63" t="s">
        <v>496</v>
      </c>
      <c r="V248" s="63" t="s">
        <v>497</v>
      </c>
      <c r="W248" s="87" t="s">
        <v>437</v>
      </c>
      <c r="X248" s="87" t="s">
        <v>437</v>
      </c>
    </row>
    <row r="249" spans="1:24" ht="25.5" hidden="1">
      <c r="A249" s="98" t="s">
        <v>495</v>
      </c>
      <c r="B249" s="315"/>
      <c r="C249" s="317"/>
      <c r="D249" s="318"/>
      <c r="E249" s="320"/>
      <c r="F249" s="318"/>
      <c r="G249" s="407"/>
      <c r="H249" s="75"/>
      <c r="I249" s="412"/>
      <c r="J249" s="419"/>
      <c r="K249" s="75"/>
      <c r="L249" s="75"/>
      <c r="M249" s="75"/>
      <c r="N249" s="75"/>
      <c r="O249" s="94">
        <v>8.1</v>
      </c>
      <c r="P249" s="63">
        <v>6</v>
      </c>
      <c r="R249" s="79"/>
      <c r="S249" s="62" t="s">
        <v>492</v>
      </c>
      <c r="T249" s="99" t="s">
        <v>113</v>
      </c>
      <c r="U249" s="63" t="s">
        <v>496</v>
      </c>
      <c r="V249" s="63" t="s">
        <v>497</v>
      </c>
      <c r="W249" s="87" t="s">
        <v>437</v>
      </c>
      <c r="X249" s="87" t="s">
        <v>437</v>
      </c>
    </row>
    <row r="250" spans="1:24" hidden="1">
      <c r="A250" s="98" t="s">
        <v>498</v>
      </c>
      <c r="B250" s="315"/>
      <c r="C250" s="317"/>
      <c r="D250" s="318"/>
      <c r="E250" s="320"/>
      <c r="F250" s="318"/>
      <c r="G250" s="407"/>
      <c r="H250" s="75"/>
      <c r="I250" s="412"/>
      <c r="J250" s="419"/>
      <c r="K250" s="75"/>
      <c r="L250" s="75"/>
      <c r="M250" s="75"/>
      <c r="N250" s="75"/>
      <c r="O250" s="94">
        <v>8.1</v>
      </c>
      <c r="P250" s="63">
        <v>5</v>
      </c>
      <c r="R250" s="79"/>
      <c r="S250" s="62" t="s">
        <v>499</v>
      </c>
      <c r="T250" s="99" t="s">
        <v>100</v>
      </c>
      <c r="U250" s="63" t="s">
        <v>500</v>
      </c>
      <c r="V250" s="63" t="s">
        <v>501</v>
      </c>
      <c r="W250" s="87" t="s">
        <v>437</v>
      </c>
      <c r="X250" s="87" t="s">
        <v>437</v>
      </c>
    </row>
    <row r="251" spans="1:24" hidden="1">
      <c r="A251" s="98" t="s">
        <v>498</v>
      </c>
      <c r="B251" s="315"/>
      <c r="C251" s="317"/>
      <c r="D251" s="318"/>
      <c r="E251" s="320"/>
      <c r="F251" s="318"/>
      <c r="G251" s="407"/>
      <c r="H251" s="75"/>
      <c r="I251" s="412"/>
      <c r="J251" s="419"/>
      <c r="K251" s="75"/>
      <c r="L251" s="75"/>
      <c r="M251" s="75"/>
      <c r="N251" s="75"/>
      <c r="O251" s="94">
        <v>8.1</v>
      </c>
      <c r="P251" s="63">
        <v>5</v>
      </c>
      <c r="R251" s="79"/>
      <c r="S251" s="62" t="s">
        <v>499</v>
      </c>
      <c r="T251" s="99" t="s">
        <v>100</v>
      </c>
      <c r="U251" s="63" t="s">
        <v>500</v>
      </c>
      <c r="V251" s="63" t="s">
        <v>501</v>
      </c>
      <c r="W251" s="87" t="s">
        <v>437</v>
      </c>
      <c r="X251" s="87" t="s">
        <v>437</v>
      </c>
    </row>
    <row r="252" spans="1:24" ht="38.25" hidden="1">
      <c r="A252" s="98" t="s">
        <v>502</v>
      </c>
      <c r="B252" s="315"/>
      <c r="C252" s="317"/>
      <c r="D252" s="318"/>
      <c r="E252" s="320"/>
      <c r="F252" s="318"/>
      <c r="G252" s="407"/>
      <c r="H252" s="75"/>
      <c r="I252" s="412"/>
      <c r="J252" s="419"/>
      <c r="K252" s="75"/>
      <c r="L252" s="75"/>
      <c r="M252" s="75"/>
      <c r="N252" s="75"/>
      <c r="O252" s="94">
        <v>4.3</v>
      </c>
      <c r="P252" s="63">
        <v>13</v>
      </c>
      <c r="R252" s="79"/>
      <c r="S252" s="62" t="s">
        <v>503</v>
      </c>
      <c r="T252" s="99" t="s">
        <v>504</v>
      </c>
      <c r="U252" s="63" t="s">
        <v>505</v>
      </c>
      <c r="V252" s="63" t="s">
        <v>506</v>
      </c>
      <c r="W252" s="87" t="s">
        <v>437</v>
      </c>
      <c r="X252" s="87" t="s">
        <v>437</v>
      </c>
    </row>
    <row r="253" spans="1:24" ht="25.5" hidden="1">
      <c r="A253" s="98" t="s">
        <v>507</v>
      </c>
      <c r="B253" s="315"/>
      <c r="C253" s="317"/>
      <c r="D253" s="318"/>
      <c r="E253" s="320"/>
      <c r="F253" s="318"/>
      <c r="G253" s="407"/>
      <c r="H253" s="75"/>
      <c r="I253" s="412"/>
      <c r="J253" s="419"/>
      <c r="K253" s="75"/>
      <c r="L253" s="75"/>
      <c r="M253" s="75"/>
      <c r="N253" s="75"/>
      <c r="O253" s="94">
        <v>5.3</v>
      </c>
      <c r="P253" s="63">
        <v>6</v>
      </c>
      <c r="R253" s="79"/>
      <c r="S253" s="62" t="s">
        <v>503</v>
      </c>
      <c r="T253" s="99" t="s">
        <v>508</v>
      </c>
      <c r="U253" s="63" t="s">
        <v>509</v>
      </c>
      <c r="V253" s="63" t="s">
        <v>510</v>
      </c>
      <c r="W253" s="87" t="s">
        <v>437</v>
      </c>
      <c r="X253" s="87" t="s">
        <v>437</v>
      </c>
    </row>
    <row r="254" spans="1:24" ht="25.5" hidden="1">
      <c r="A254" s="98" t="s">
        <v>511</v>
      </c>
      <c r="B254" s="315"/>
      <c r="C254" s="317"/>
      <c r="D254" s="318"/>
      <c r="E254" s="320"/>
      <c r="F254" s="318"/>
      <c r="G254" s="407"/>
      <c r="H254" s="75"/>
      <c r="I254" s="412"/>
      <c r="J254" s="419"/>
      <c r="K254" s="75"/>
      <c r="L254" s="75"/>
      <c r="M254" s="75"/>
      <c r="N254" s="75"/>
      <c r="O254" s="94">
        <v>9.1</v>
      </c>
      <c r="P254" s="63">
        <v>10</v>
      </c>
      <c r="R254" s="79"/>
      <c r="S254" s="62" t="s">
        <v>492</v>
      </c>
      <c r="T254" s="99" t="s">
        <v>113</v>
      </c>
      <c r="U254" s="63" t="s">
        <v>512</v>
      </c>
      <c r="V254" s="63" t="s">
        <v>513</v>
      </c>
      <c r="W254" s="87" t="s">
        <v>437</v>
      </c>
      <c r="X254" s="87" t="s">
        <v>437</v>
      </c>
    </row>
    <row r="255" spans="1:24" ht="25.5" hidden="1">
      <c r="A255" s="98" t="s">
        <v>514</v>
      </c>
      <c r="B255" s="315"/>
      <c r="C255" s="317"/>
      <c r="D255" s="318"/>
      <c r="E255" s="320"/>
      <c r="F255" s="318"/>
      <c r="G255" s="407"/>
      <c r="H255" s="75"/>
      <c r="I255" s="412"/>
      <c r="J255" s="419"/>
      <c r="K255" s="75"/>
      <c r="L255" s="75"/>
      <c r="M255" s="75"/>
      <c r="N255" s="75"/>
      <c r="O255" s="94">
        <v>9.1999999999999993</v>
      </c>
      <c r="P255" s="63">
        <v>8</v>
      </c>
      <c r="R255" s="79"/>
      <c r="S255" s="62" t="s">
        <v>499</v>
      </c>
      <c r="T255" s="99" t="s">
        <v>100</v>
      </c>
      <c r="U255" s="63" t="s">
        <v>515</v>
      </c>
      <c r="V255" s="63" t="s">
        <v>516</v>
      </c>
      <c r="W255" s="87" t="s">
        <v>437</v>
      </c>
      <c r="X255" s="87" t="s">
        <v>437</v>
      </c>
    </row>
    <row r="256" spans="1:24" hidden="1">
      <c r="A256" s="98" t="s">
        <v>517</v>
      </c>
      <c r="B256" s="315"/>
      <c r="C256" s="317"/>
      <c r="D256" s="318"/>
      <c r="E256" s="320"/>
      <c r="F256" s="318"/>
      <c r="G256" s="407"/>
      <c r="H256" s="75"/>
      <c r="I256" s="412"/>
      <c r="J256" s="419"/>
      <c r="K256" s="75"/>
      <c r="L256" s="75"/>
      <c r="M256" s="75"/>
      <c r="N256" s="75"/>
      <c r="O256" s="94">
        <v>3</v>
      </c>
      <c r="P256" s="63">
        <v>2</v>
      </c>
      <c r="R256" s="79"/>
      <c r="S256" s="62" t="s">
        <v>518</v>
      </c>
      <c r="T256" s="99" t="s">
        <v>100</v>
      </c>
      <c r="U256" s="63" t="s">
        <v>519</v>
      </c>
      <c r="V256" s="63" t="s">
        <v>520</v>
      </c>
      <c r="W256" s="87" t="s">
        <v>437</v>
      </c>
      <c r="X256" s="87" t="s">
        <v>437</v>
      </c>
    </row>
    <row r="257" spans="1:24" hidden="1">
      <c r="A257" s="98" t="s">
        <v>517</v>
      </c>
      <c r="B257" s="315"/>
      <c r="C257" s="317"/>
      <c r="D257" s="318"/>
      <c r="E257" s="320"/>
      <c r="F257" s="318"/>
      <c r="G257" s="407"/>
      <c r="H257" s="75"/>
      <c r="I257" s="412"/>
      <c r="J257" s="419"/>
      <c r="K257" s="75"/>
      <c r="L257" s="75"/>
      <c r="M257" s="75"/>
      <c r="N257" s="75"/>
      <c r="O257" s="94">
        <v>3</v>
      </c>
      <c r="P257" s="63">
        <v>2</v>
      </c>
      <c r="R257" s="79"/>
      <c r="S257" s="62" t="s">
        <v>518</v>
      </c>
      <c r="T257" s="99" t="s">
        <v>100</v>
      </c>
      <c r="U257" s="63" t="s">
        <v>519</v>
      </c>
      <c r="V257" s="63" t="s">
        <v>520</v>
      </c>
      <c r="W257" s="87" t="s">
        <v>437</v>
      </c>
      <c r="X257" s="87" t="s">
        <v>437</v>
      </c>
    </row>
    <row r="258" spans="1:24" hidden="1">
      <c r="A258" s="98" t="s">
        <v>521</v>
      </c>
      <c r="B258" s="315"/>
      <c r="C258" s="317"/>
      <c r="D258" s="318"/>
      <c r="E258" s="320"/>
      <c r="F258" s="318"/>
      <c r="G258" s="407"/>
      <c r="H258" s="75"/>
      <c r="I258" s="412"/>
      <c r="J258" s="419"/>
      <c r="K258" s="75"/>
      <c r="L258" s="75"/>
      <c r="M258" s="75"/>
      <c r="N258" s="75"/>
      <c r="O258" s="94">
        <v>3</v>
      </c>
      <c r="R258" s="79"/>
      <c r="S258" s="62" t="s">
        <v>518</v>
      </c>
      <c r="T258" s="99" t="s">
        <v>100</v>
      </c>
      <c r="U258" s="63" t="s">
        <v>522</v>
      </c>
      <c r="W258" s="87" t="s">
        <v>437</v>
      </c>
      <c r="X258" s="87" t="s">
        <v>437</v>
      </c>
    </row>
    <row r="259" spans="1:24" hidden="1">
      <c r="A259" s="98" t="s">
        <v>521</v>
      </c>
      <c r="B259" s="315"/>
      <c r="C259" s="317"/>
      <c r="D259" s="318"/>
      <c r="E259" s="320"/>
      <c r="F259" s="318"/>
      <c r="G259" s="407"/>
      <c r="H259" s="75"/>
      <c r="I259" s="412"/>
      <c r="J259" s="419"/>
      <c r="K259" s="75"/>
      <c r="L259" s="75"/>
      <c r="M259" s="75"/>
      <c r="N259" s="75"/>
      <c r="O259" s="94">
        <v>3</v>
      </c>
      <c r="R259" s="79"/>
      <c r="S259" s="62" t="s">
        <v>518</v>
      </c>
      <c r="T259" s="99" t="s">
        <v>100</v>
      </c>
      <c r="U259" s="63" t="s">
        <v>522</v>
      </c>
      <c r="W259" s="87" t="s">
        <v>437</v>
      </c>
      <c r="X259" s="87" t="s">
        <v>437</v>
      </c>
    </row>
    <row r="260" spans="1:24" hidden="1">
      <c r="A260" s="98" t="s">
        <v>523</v>
      </c>
      <c r="B260" s="315"/>
      <c r="C260" s="317"/>
      <c r="D260" s="318"/>
      <c r="E260" s="320"/>
      <c r="F260" s="318"/>
      <c r="G260" s="407"/>
      <c r="H260" s="75"/>
      <c r="I260" s="412"/>
      <c r="J260" s="419"/>
      <c r="K260" s="75"/>
      <c r="L260" s="75"/>
      <c r="M260" s="75"/>
      <c r="N260" s="75"/>
      <c r="O260" s="94">
        <v>6</v>
      </c>
      <c r="P260" s="63">
        <v>2</v>
      </c>
      <c r="R260" s="79"/>
      <c r="S260" s="62" t="s">
        <v>518</v>
      </c>
      <c r="T260" s="99" t="s">
        <v>100</v>
      </c>
      <c r="U260" s="63" t="s">
        <v>524</v>
      </c>
      <c r="V260" s="63" t="s">
        <v>520</v>
      </c>
      <c r="W260" s="87" t="s">
        <v>437</v>
      </c>
      <c r="X260" s="87" t="s">
        <v>437</v>
      </c>
    </row>
    <row r="261" spans="1:24" hidden="1">
      <c r="A261" s="98" t="s">
        <v>523</v>
      </c>
      <c r="B261" s="315"/>
      <c r="C261" s="317"/>
      <c r="D261" s="318"/>
      <c r="E261" s="320"/>
      <c r="F261" s="318"/>
      <c r="G261" s="407"/>
      <c r="H261" s="75"/>
      <c r="I261" s="412"/>
      <c r="J261" s="419"/>
      <c r="K261" s="75"/>
      <c r="L261" s="75"/>
      <c r="M261" s="75"/>
      <c r="N261" s="75"/>
      <c r="O261" s="94">
        <v>6</v>
      </c>
      <c r="P261" s="63">
        <v>2</v>
      </c>
      <c r="R261" s="79"/>
      <c r="S261" s="62" t="s">
        <v>518</v>
      </c>
      <c r="T261" s="99" t="s">
        <v>100</v>
      </c>
      <c r="U261" s="63" t="s">
        <v>524</v>
      </c>
      <c r="V261" s="63" t="s">
        <v>520</v>
      </c>
      <c r="W261" s="87" t="s">
        <v>437</v>
      </c>
      <c r="X261" s="87" t="s">
        <v>437</v>
      </c>
    </row>
    <row r="262" spans="1:24" hidden="1">
      <c r="A262" s="98" t="s">
        <v>525</v>
      </c>
      <c r="B262" s="315"/>
      <c r="C262" s="317"/>
      <c r="D262" s="318"/>
      <c r="E262" s="320"/>
      <c r="F262" s="318"/>
      <c r="G262" s="407"/>
      <c r="H262" s="75"/>
      <c r="I262" s="412"/>
      <c r="J262" s="419"/>
      <c r="K262" s="75"/>
      <c r="L262" s="75"/>
      <c r="M262" s="75"/>
      <c r="N262" s="75"/>
      <c r="O262" s="94">
        <v>4</v>
      </c>
      <c r="R262" s="79"/>
      <c r="S262" s="62" t="s">
        <v>518</v>
      </c>
      <c r="T262" s="99" t="s">
        <v>100</v>
      </c>
      <c r="U262" s="63" t="s">
        <v>526</v>
      </c>
      <c r="W262" s="87" t="s">
        <v>437</v>
      </c>
      <c r="X262" s="87" t="s">
        <v>437</v>
      </c>
    </row>
    <row r="263" spans="1:24" hidden="1">
      <c r="A263" s="98" t="s">
        <v>525</v>
      </c>
      <c r="B263" s="315"/>
      <c r="C263" s="317"/>
      <c r="D263" s="318"/>
      <c r="E263" s="320"/>
      <c r="F263" s="318"/>
      <c r="G263" s="407"/>
      <c r="H263" s="75"/>
      <c r="I263" s="412"/>
      <c r="J263" s="419"/>
      <c r="K263" s="75"/>
      <c r="L263" s="75"/>
      <c r="M263" s="75"/>
      <c r="N263" s="75"/>
      <c r="O263" s="94">
        <v>4</v>
      </c>
      <c r="R263" s="79"/>
      <c r="S263" s="62" t="s">
        <v>518</v>
      </c>
      <c r="T263" s="99" t="s">
        <v>100</v>
      </c>
      <c r="U263" s="63" t="s">
        <v>526</v>
      </c>
      <c r="W263" s="87" t="s">
        <v>437</v>
      </c>
      <c r="X263" s="87" t="s">
        <v>437</v>
      </c>
    </row>
    <row r="264" spans="1:24" hidden="1">
      <c r="A264" s="98" t="s">
        <v>527</v>
      </c>
      <c r="B264" s="315"/>
      <c r="C264" s="317"/>
      <c r="D264" s="318"/>
      <c r="E264" s="320"/>
      <c r="F264" s="318"/>
      <c r="G264" s="407"/>
      <c r="H264" s="75"/>
      <c r="I264" s="412"/>
      <c r="J264" s="419"/>
      <c r="K264" s="75"/>
      <c r="L264" s="75"/>
      <c r="M264" s="75"/>
      <c r="N264" s="75"/>
      <c r="O264" s="94">
        <v>7.1</v>
      </c>
      <c r="P264" s="63">
        <v>4</v>
      </c>
      <c r="R264" s="79"/>
      <c r="S264" s="62" t="s">
        <v>518</v>
      </c>
      <c r="T264" s="99" t="s">
        <v>100</v>
      </c>
      <c r="U264" s="63" t="s">
        <v>528</v>
      </c>
      <c r="V264" s="63" t="s">
        <v>529</v>
      </c>
      <c r="W264" s="87" t="s">
        <v>437</v>
      </c>
      <c r="X264" s="87" t="s">
        <v>437</v>
      </c>
    </row>
    <row r="265" spans="1:24" hidden="1">
      <c r="A265" s="98" t="s">
        <v>527</v>
      </c>
      <c r="B265" s="315"/>
      <c r="C265" s="317"/>
      <c r="D265" s="318"/>
      <c r="E265" s="320"/>
      <c r="F265" s="318"/>
      <c r="G265" s="407"/>
      <c r="H265" s="75"/>
      <c r="I265" s="412"/>
      <c r="J265" s="419"/>
      <c r="K265" s="75"/>
      <c r="L265" s="75"/>
      <c r="M265" s="75"/>
      <c r="N265" s="75"/>
      <c r="O265" s="94">
        <v>7.1</v>
      </c>
      <c r="P265" s="63">
        <v>4</v>
      </c>
      <c r="R265" s="79"/>
      <c r="S265" s="62" t="s">
        <v>518</v>
      </c>
      <c r="T265" s="99" t="s">
        <v>100</v>
      </c>
      <c r="U265" s="63" t="s">
        <v>528</v>
      </c>
      <c r="V265" s="63" t="s">
        <v>530</v>
      </c>
      <c r="W265" s="87" t="s">
        <v>437</v>
      </c>
      <c r="X265" s="87" t="s">
        <v>437</v>
      </c>
    </row>
    <row r="266" spans="1:24" hidden="1">
      <c r="A266" s="98" t="s">
        <v>531</v>
      </c>
      <c r="B266" s="315"/>
      <c r="C266" s="317"/>
      <c r="D266" s="318"/>
      <c r="E266" s="320"/>
      <c r="F266" s="318"/>
      <c r="G266" s="407"/>
      <c r="H266" s="75"/>
      <c r="I266" s="412"/>
      <c r="J266" s="419"/>
      <c r="K266" s="75"/>
      <c r="L266" s="75"/>
      <c r="M266" s="75"/>
      <c r="N266" s="75"/>
      <c r="O266" s="94">
        <v>5</v>
      </c>
      <c r="R266" s="79"/>
      <c r="S266" s="62" t="s">
        <v>518</v>
      </c>
      <c r="T266" s="99" t="s">
        <v>100</v>
      </c>
      <c r="U266" s="63" t="s">
        <v>532</v>
      </c>
      <c r="W266" s="87" t="s">
        <v>437</v>
      </c>
      <c r="X266" s="87" t="s">
        <v>437</v>
      </c>
    </row>
    <row r="267" spans="1:24" hidden="1">
      <c r="A267" s="98" t="s">
        <v>531</v>
      </c>
      <c r="B267" s="315"/>
      <c r="C267" s="317"/>
      <c r="D267" s="318"/>
      <c r="E267" s="320"/>
      <c r="F267" s="318"/>
      <c r="G267" s="407"/>
      <c r="H267" s="75"/>
      <c r="I267" s="412"/>
      <c r="J267" s="419"/>
      <c r="K267" s="75"/>
      <c r="L267" s="75"/>
      <c r="M267" s="75"/>
      <c r="N267" s="75"/>
      <c r="O267" s="94">
        <v>5</v>
      </c>
      <c r="R267" s="79"/>
      <c r="S267" s="62" t="s">
        <v>518</v>
      </c>
      <c r="T267" s="99" t="s">
        <v>100</v>
      </c>
      <c r="U267" s="63" t="s">
        <v>532</v>
      </c>
      <c r="W267" s="87" t="s">
        <v>437</v>
      </c>
      <c r="X267" s="87" t="s">
        <v>437</v>
      </c>
    </row>
    <row r="268" spans="1:24" hidden="1">
      <c r="A268" s="98" t="s">
        <v>533</v>
      </c>
      <c r="B268" s="315"/>
      <c r="C268" s="317"/>
      <c r="D268" s="318"/>
      <c r="E268" s="320"/>
      <c r="F268" s="318"/>
      <c r="G268" s="407"/>
      <c r="H268" s="75"/>
      <c r="I268" s="412"/>
      <c r="J268" s="419"/>
      <c r="K268" s="75"/>
      <c r="L268" s="75"/>
      <c r="M268" s="75"/>
      <c r="N268" s="75"/>
      <c r="O268" s="94">
        <v>5.0999999999999996</v>
      </c>
      <c r="P268" s="63">
        <v>4</v>
      </c>
      <c r="R268" s="79"/>
      <c r="S268" s="62" t="s">
        <v>534</v>
      </c>
      <c r="T268" s="99" t="s">
        <v>100</v>
      </c>
      <c r="U268" s="63" t="s">
        <v>535</v>
      </c>
      <c r="V268" s="63" t="s">
        <v>530</v>
      </c>
      <c r="W268" s="87" t="s">
        <v>437</v>
      </c>
      <c r="X268" s="87" t="s">
        <v>437</v>
      </c>
    </row>
    <row r="269" spans="1:24" hidden="1">
      <c r="A269" s="98" t="s">
        <v>533</v>
      </c>
      <c r="B269" s="315"/>
      <c r="C269" s="317"/>
      <c r="D269" s="318"/>
      <c r="E269" s="320"/>
      <c r="F269" s="318"/>
      <c r="G269" s="407"/>
      <c r="H269" s="75"/>
      <c r="I269" s="412"/>
      <c r="J269" s="419"/>
      <c r="K269" s="75"/>
      <c r="L269" s="75"/>
      <c r="M269" s="75"/>
      <c r="N269" s="75"/>
      <c r="O269" s="94">
        <v>5.0999999999999996</v>
      </c>
      <c r="P269" s="63">
        <v>4</v>
      </c>
      <c r="R269" s="79"/>
      <c r="S269" s="62" t="s">
        <v>534</v>
      </c>
      <c r="T269" s="99" t="s">
        <v>100</v>
      </c>
      <c r="U269" s="63" t="s">
        <v>535</v>
      </c>
      <c r="V269" s="63" t="s">
        <v>530</v>
      </c>
      <c r="W269" s="87" t="s">
        <v>437</v>
      </c>
      <c r="X269" s="87" t="s">
        <v>437</v>
      </c>
    </row>
    <row r="270" spans="1:24" hidden="1">
      <c r="A270" s="98" t="s">
        <v>536</v>
      </c>
      <c r="B270" s="315"/>
      <c r="C270" s="317"/>
      <c r="D270" s="318"/>
      <c r="E270" s="320"/>
      <c r="F270" s="318"/>
      <c r="G270" s="407"/>
      <c r="H270" s="75"/>
      <c r="I270" s="412"/>
      <c r="J270" s="419"/>
      <c r="K270" s="75"/>
      <c r="L270" s="75"/>
      <c r="M270" s="75"/>
      <c r="N270" s="75"/>
      <c r="O270" s="94">
        <v>4.0999999999999996</v>
      </c>
      <c r="P270" s="63">
        <v>3</v>
      </c>
      <c r="R270" s="79"/>
      <c r="S270" s="62" t="s">
        <v>534</v>
      </c>
      <c r="T270" s="99" t="s">
        <v>100</v>
      </c>
      <c r="U270" s="63" t="s">
        <v>537</v>
      </c>
      <c r="V270" s="63" t="s">
        <v>538</v>
      </c>
      <c r="W270" s="87" t="s">
        <v>437</v>
      </c>
      <c r="X270" s="87" t="s">
        <v>437</v>
      </c>
    </row>
    <row r="271" spans="1:24" hidden="1">
      <c r="A271" s="98" t="s">
        <v>536</v>
      </c>
      <c r="B271" s="315"/>
      <c r="C271" s="317"/>
      <c r="D271" s="318"/>
      <c r="E271" s="320"/>
      <c r="F271" s="318"/>
      <c r="G271" s="407"/>
      <c r="H271" s="75"/>
      <c r="I271" s="412"/>
      <c r="J271" s="419"/>
      <c r="K271" s="75"/>
      <c r="L271" s="75"/>
      <c r="M271" s="75"/>
      <c r="N271" s="75"/>
      <c r="O271" s="94">
        <v>4.0999999999999996</v>
      </c>
      <c r="P271" s="63">
        <v>3</v>
      </c>
      <c r="R271" s="79"/>
      <c r="S271" s="62" t="s">
        <v>534</v>
      </c>
      <c r="T271" s="99" t="s">
        <v>100</v>
      </c>
      <c r="U271" s="63" t="s">
        <v>537</v>
      </c>
      <c r="V271" s="63" t="s">
        <v>538</v>
      </c>
      <c r="W271" s="87" t="s">
        <v>437</v>
      </c>
      <c r="X271" s="87" t="s">
        <v>437</v>
      </c>
    </row>
    <row r="272" spans="1:24" hidden="1">
      <c r="A272" s="98" t="s">
        <v>539</v>
      </c>
      <c r="B272" s="315"/>
      <c r="C272" s="317"/>
      <c r="D272" s="318"/>
      <c r="E272" s="320"/>
      <c r="F272" s="318"/>
      <c r="G272" s="407"/>
      <c r="H272" s="75"/>
      <c r="I272" s="412"/>
      <c r="J272" s="419"/>
      <c r="K272" s="75"/>
      <c r="L272" s="75"/>
      <c r="M272" s="75"/>
      <c r="N272" s="75"/>
      <c r="O272" s="94">
        <v>7.1</v>
      </c>
      <c r="P272" s="63">
        <v>3</v>
      </c>
      <c r="R272" s="79"/>
      <c r="S272" s="62" t="s">
        <v>534</v>
      </c>
      <c r="T272" s="99" t="s">
        <v>100</v>
      </c>
      <c r="U272" s="63" t="s">
        <v>540</v>
      </c>
      <c r="V272" s="63" t="s">
        <v>538</v>
      </c>
      <c r="W272" s="87" t="s">
        <v>437</v>
      </c>
      <c r="X272" s="87" t="s">
        <v>437</v>
      </c>
    </row>
    <row r="273" spans="1:24" hidden="1">
      <c r="A273" s="98" t="s">
        <v>539</v>
      </c>
      <c r="B273" s="315"/>
      <c r="C273" s="317"/>
      <c r="D273" s="318"/>
      <c r="E273" s="320"/>
      <c r="F273" s="318"/>
      <c r="G273" s="407"/>
      <c r="H273" s="75"/>
      <c r="I273" s="412"/>
      <c r="J273" s="419"/>
      <c r="K273" s="75"/>
      <c r="L273" s="75"/>
      <c r="M273" s="75"/>
      <c r="N273" s="75"/>
      <c r="O273" s="94">
        <v>7.1</v>
      </c>
      <c r="P273" s="63">
        <v>3</v>
      </c>
      <c r="R273" s="79"/>
      <c r="S273" s="62" t="s">
        <v>534</v>
      </c>
      <c r="T273" s="99" t="s">
        <v>100</v>
      </c>
      <c r="U273" s="63" t="s">
        <v>540</v>
      </c>
      <c r="V273" s="63" t="s">
        <v>538</v>
      </c>
      <c r="W273" s="87" t="s">
        <v>437</v>
      </c>
      <c r="X273" s="87" t="s">
        <v>437</v>
      </c>
    </row>
    <row r="274" spans="1:24" ht="25.5" hidden="1">
      <c r="A274" s="98" t="s">
        <v>541</v>
      </c>
      <c r="B274" s="315"/>
      <c r="C274" s="317"/>
      <c r="D274" s="318"/>
      <c r="E274" s="320"/>
      <c r="F274" s="318"/>
      <c r="G274" s="407"/>
      <c r="H274" s="75"/>
      <c r="I274" s="412"/>
      <c r="J274" s="419"/>
      <c r="K274" s="75"/>
      <c r="L274" s="75"/>
      <c r="M274" s="75"/>
      <c r="N274" s="75"/>
      <c r="O274" s="94">
        <v>7.1</v>
      </c>
      <c r="P274" s="63">
        <v>5</v>
      </c>
      <c r="R274" s="79"/>
      <c r="S274" s="62" t="s">
        <v>542</v>
      </c>
      <c r="T274" s="99" t="s">
        <v>100</v>
      </c>
      <c r="U274" s="63" t="s">
        <v>543</v>
      </c>
      <c r="V274" s="63" t="s">
        <v>544</v>
      </c>
      <c r="W274" s="87" t="s">
        <v>437</v>
      </c>
      <c r="X274" s="87" t="s">
        <v>437</v>
      </c>
    </row>
    <row r="275" spans="1:24" ht="25.5" hidden="1">
      <c r="A275" s="98" t="s">
        <v>541</v>
      </c>
      <c r="B275" s="315"/>
      <c r="C275" s="317"/>
      <c r="D275" s="318"/>
      <c r="E275" s="320"/>
      <c r="F275" s="318"/>
      <c r="G275" s="407"/>
      <c r="H275" s="75"/>
      <c r="I275" s="412"/>
      <c r="J275" s="419"/>
      <c r="K275" s="75"/>
      <c r="L275" s="75"/>
      <c r="M275" s="75"/>
      <c r="N275" s="75"/>
      <c r="O275" s="94">
        <v>7.1</v>
      </c>
      <c r="P275" s="63">
        <v>5</v>
      </c>
      <c r="R275" s="79"/>
      <c r="S275" s="62" t="s">
        <v>542</v>
      </c>
      <c r="T275" s="99" t="s">
        <v>100</v>
      </c>
      <c r="U275" s="63" t="s">
        <v>543</v>
      </c>
      <c r="V275" s="63" t="s">
        <v>544</v>
      </c>
      <c r="W275" s="87" t="s">
        <v>437</v>
      </c>
      <c r="X275" s="87" t="s">
        <v>437</v>
      </c>
    </row>
    <row r="276" spans="1:24" hidden="1">
      <c r="A276" s="98" t="s">
        <v>545</v>
      </c>
      <c r="B276" s="315"/>
      <c r="C276" s="317"/>
      <c r="D276" s="318"/>
      <c r="E276" s="320"/>
      <c r="F276" s="318"/>
      <c r="G276" s="407"/>
      <c r="H276" s="75"/>
      <c r="I276" s="412"/>
      <c r="J276" s="419"/>
      <c r="K276" s="75"/>
      <c r="L276" s="75"/>
      <c r="M276" s="75"/>
      <c r="N276" s="75"/>
      <c r="O276" s="94">
        <v>5</v>
      </c>
      <c r="P276" s="63">
        <v>3</v>
      </c>
      <c r="R276" s="79"/>
      <c r="S276" s="62" t="s">
        <v>542</v>
      </c>
      <c r="T276" s="99" t="s">
        <v>100</v>
      </c>
      <c r="U276" s="63" t="s">
        <v>546</v>
      </c>
      <c r="V276" s="63" t="s">
        <v>547</v>
      </c>
      <c r="W276" s="87" t="s">
        <v>437</v>
      </c>
      <c r="X276" s="87" t="s">
        <v>437</v>
      </c>
    </row>
    <row r="277" spans="1:24" hidden="1">
      <c r="A277" s="98" t="s">
        <v>545</v>
      </c>
      <c r="B277" s="315"/>
      <c r="C277" s="317"/>
      <c r="D277" s="318"/>
      <c r="E277" s="320"/>
      <c r="F277" s="318"/>
      <c r="G277" s="407"/>
      <c r="H277" s="75"/>
      <c r="I277" s="412"/>
      <c r="J277" s="419"/>
      <c r="K277" s="75"/>
      <c r="L277" s="75"/>
      <c r="M277" s="75"/>
      <c r="N277" s="75"/>
      <c r="O277" s="94">
        <v>5</v>
      </c>
      <c r="P277" s="63">
        <v>3</v>
      </c>
      <c r="R277" s="79"/>
      <c r="S277" s="62" t="s">
        <v>542</v>
      </c>
      <c r="T277" s="99" t="s">
        <v>100</v>
      </c>
      <c r="U277" s="63" t="s">
        <v>546</v>
      </c>
      <c r="V277" s="63" t="s">
        <v>547</v>
      </c>
      <c r="W277" s="87" t="s">
        <v>437</v>
      </c>
      <c r="X277" s="87" t="s">
        <v>437</v>
      </c>
    </row>
    <row r="278" spans="1:24" ht="25.5" hidden="1">
      <c r="A278" s="98" t="s">
        <v>548</v>
      </c>
      <c r="B278" s="315"/>
      <c r="C278" s="317"/>
      <c r="D278" s="318"/>
      <c r="E278" s="320"/>
      <c r="F278" s="318"/>
      <c r="G278" s="407"/>
      <c r="H278" s="75"/>
      <c r="I278" s="412"/>
      <c r="J278" s="419"/>
      <c r="K278" s="75"/>
      <c r="L278" s="75"/>
      <c r="M278" s="75"/>
      <c r="N278" s="75"/>
      <c r="O278" s="94">
        <v>4.0999999999999996</v>
      </c>
      <c r="P278" s="63">
        <v>6</v>
      </c>
      <c r="R278" s="79"/>
      <c r="S278" s="62" t="s">
        <v>549</v>
      </c>
      <c r="T278" s="99" t="s">
        <v>550</v>
      </c>
      <c r="U278" s="63" t="s">
        <v>551</v>
      </c>
      <c r="V278" s="63" t="s">
        <v>552</v>
      </c>
      <c r="W278" s="87" t="s">
        <v>437</v>
      </c>
      <c r="X278" s="87" t="s">
        <v>437</v>
      </c>
    </row>
    <row r="279" spans="1:24" ht="25.5" hidden="1">
      <c r="A279" s="98" t="s">
        <v>548</v>
      </c>
      <c r="B279" s="315"/>
      <c r="C279" s="317"/>
      <c r="D279" s="318"/>
      <c r="E279" s="320"/>
      <c r="F279" s="318"/>
      <c r="G279" s="407"/>
      <c r="H279" s="75"/>
      <c r="I279" s="412"/>
      <c r="J279" s="419"/>
      <c r="K279" s="75"/>
      <c r="L279" s="75"/>
      <c r="M279" s="75"/>
      <c r="N279" s="75"/>
      <c r="O279" s="94">
        <v>4.0999999999999996</v>
      </c>
      <c r="P279" s="63">
        <v>6</v>
      </c>
      <c r="R279" s="79"/>
      <c r="S279" s="62" t="s">
        <v>549</v>
      </c>
      <c r="T279" s="99" t="s">
        <v>550</v>
      </c>
      <c r="U279" s="63" t="s">
        <v>551</v>
      </c>
      <c r="V279" s="63" t="s">
        <v>552</v>
      </c>
      <c r="W279" s="87" t="s">
        <v>437</v>
      </c>
      <c r="X279" s="87" t="s">
        <v>437</v>
      </c>
    </row>
    <row r="280" spans="1:24" ht="51" hidden="1">
      <c r="A280" s="98" t="s">
        <v>553</v>
      </c>
      <c r="B280" s="315"/>
      <c r="C280" s="317"/>
      <c r="D280" s="318"/>
      <c r="E280" s="320"/>
      <c r="F280" s="318"/>
      <c r="G280" s="407"/>
      <c r="H280" s="75"/>
      <c r="I280" s="412"/>
      <c r="J280" s="419"/>
      <c r="K280" s="75"/>
      <c r="L280" s="75"/>
      <c r="M280" s="75"/>
      <c r="N280" s="75"/>
      <c r="O280" s="94">
        <v>3.7</v>
      </c>
      <c r="P280" s="63">
        <v>15</v>
      </c>
      <c r="R280" s="79"/>
      <c r="S280" s="62" t="s">
        <v>554</v>
      </c>
      <c r="T280" s="99" t="s">
        <v>555</v>
      </c>
      <c r="V280" s="63" t="s">
        <v>556</v>
      </c>
      <c r="W280" s="87" t="s">
        <v>103</v>
      </c>
      <c r="X280" s="87" t="s">
        <v>104</v>
      </c>
    </row>
    <row r="281" spans="1:24" ht="25.5" hidden="1">
      <c r="A281" s="98" t="s">
        <v>557</v>
      </c>
      <c r="B281" s="315"/>
      <c r="C281" s="317"/>
      <c r="D281" s="318"/>
      <c r="E281" s="320"/>
      <c r="F281" s="318"/>
      <c r="G281" s="407"/>
      <c r="H281" s="75"/>
      <c r="I281" s="412"/>
      <c r="J281" s="419"/>
      <c r="K281" s="75"/>
      <c r="L281" s="75"/>
      <c r="M281" s="75"/>
      <c r="N281" s="75"/>
      <c r="O281" s="94">
        <v>4.0999999999999996</v>
      </c>
      <c r="P281" s="63">
        <v>6</v>
      </c>
      <c r="R281" s="79"/>
      <c r="S281" s="62" t="s">
        <v>558</v>
      </c>
      <c r="T281" s="99" t="s">
        <v>559</v>
      </c>
      <c r="V281" s="63" t="s">
        <v>560</v>
      </c>
      <c r="W281" s="87" t="s">
        <v>103</v>
      </c>
      <c r="X281" s="87" t="s">
        <v>104</v>
      </c>
    </row>
    <row r="282" spans="1:24" ht="51" hidden="1">
      <c r="A282" s="98" t="s">
        <v>561</v>
      </c>
      <c r="B282" s="315"/>
      <c r="C282" s="317"/>
      <c r="D282" s="318"/>
      <c r="E282" s="320"/>
      <c r="F282" s="318"/>
      <c r="G282" s="407"/>
      <c r="H282" s="75"/>
      <c r="I282" s="412"/>
      <c r="J282" s="419"/>
      <c r="K282" s="75"/>
      <c r="L282" s="75"/>
      <c r="M282" s="75"/>
      <c r="N282" s="75"/>
      <c r="O282" s="94">
        <v>4.9000000000000004</v>
      </c>
      <c r="P282" s="63">
        <v>20</v>
      </c>
      <c r="R282" s="79"/>
      <c r="S282" s="62" t="s">
        <v>562</v>
      </c>
      <c r="T282" s="99" t="s">
        <v>563</v>
      </c>
      <c r="V282" s="63" t="s">
        <v>564</v>
      </c>
      <c r="W282" s="87" t="s">
        <v>103</v>
      </c>
      <c r="X282" s="87" t="s">
        <v>104</v>
      </c>
    </row>
    <row r="283" spans="1:24" ht="63.75" hidden="1">
      <c r="A283" s="98" t="s">
        <v>565</v>
      </c>
      <c r="B283" s="315"/>
      <c r="C283" s="317"/>
      <c r="D283" s="318"/>
      <c r="E283" s="320"/>
      <c r="F283" s="318"/>
      <c r="G283" s="407"/>
      <c r="H283" s="75"/>
      <c r="I283" s="412"/>
      <c r="J283" s="419"/>
      <c r="K283" s="75"/>
      <c r="L283" s="75"/>
      <c r="M283" s="75"/>
      <c r="N283" s="75"/>
      <c r="O283" s="94">
        <v>6.4</v>
      </c>
      <c r="P283" s="63">
        <v>23</v>
      </c>
      <c r="R283" s="79"/>
      <c r="S283" s="62" t="s">
        <v>562</v>
      </c>
      <c r="T283" s="99" t="s">
        <v>566</v>
      </c>
      <c r="V283" s="63" t="s">
        <v>567</v>
      </c>
      <c r="W283" s="87" t="s">
        <v>103</v>
      </c>
      <c r="X283" s="87" t="s">
        <v>104</v>
      </c>
    </row>
    <row r="284" spans="1:24" ht="25.5" hidden="1">
      <c r="A284" s="98" t="s">
        <v>568</v>
      </c>
      <c r="B284" s="315"/>
      <c r="C284" s="317"/>
      <c r="D284" s="318"/>
      <c r="E284" s="320"/>
      <c r="F284" s="318"/>
      <c r="G284" s="407"/>
      <c r="H284" s="75"/>
      <c r="I284" s="412"/>
      <c r="J284" s="419"/>
      <c r="K284" s="75"/>
      <c r="L284" s="75"/>
      <c r="M284" s="75"/>
      <c r="N284" s="75"/>
      <c r="O284" s="94">
        <v>3.6</v>
      </c>
      <c r="P284" s="63">
        <v>5</v>
      </c>
      <c r="R284" s="79"/>
      <c r="S284" s="62" t="s">
        <v>569</v>
      </c>
      <c r="T284" s="99" t="s">
        <v>570</v>
      </c>
      <c r="V284" s="63" t="s">
        <v>571</v>
      </c>
      <c r="W284" s="87" t="s">
        <v>103</v>
      </c>
      <c r="X284" s="87" t="s">
        <v>104</v>
      </c>
    </row>
    <row r="285" spans="1:24" ht="63.75" hidden="1">
      <c r="A285" s="98" t="s">
        <v>572</v>
      </c>
      <c r="B285" s="315"/>
      <c r="C285" s="317"/>
      <c r="D285" s="318"/>
      <c r="E285" s="320"/>
      <c r="F285" s="318"/>
      <c r="G285" s="407"/>
      <c r="H285" s="75"/>
      <c r="I285" s="412"/>
      <c r="J285" s="419"/>
      <c r="K285" s="75"/>
      <c r="L285" s="75"/>
      <c r="M285" s="75"/>
      <c r="N285" s="75"/>
      <c r="O285" s="94">
        <v>4</v>
      </c>
      <c r="P285" s="63">
        <v>16</v>
      </c>
      <c r="R285" s="79"/>
      <c r="S285" s="62" t="s">
        <v>573</v>
      </c>
      <c r="T285" s="99" t="s">
        <v>574</v>
      </c>
      <c r="V285" s="63" t="s">
        <v>575</v>
      </c>
      <c r="W285" s="87" t="s">
        <v>103</v>
      </c>
      <c r="X285" s="87" t="s">
        <v>104</v>
      </c>
    </row>
    <row r="286" spans="1:24" ht="51" hidden="1">
      <c r="A286" s="98" t="s">
        <v>576</v>
      </c>
      <c r="B286" s="315"/>
      <c r="C286" s="317"/>
      <c r="D286" s="318"/>
      <c r="E286" s="320"/>
      <c r="F286" s="318"/>
      <c r="G286" s="407"/>
      <c r="H286" s="75"/>
      <c r="I286" s="412"/>
      <c r="J286" s="419"/>
      <c r="K286" s="75"/>
      <c r="L286" s="75"/>
      <c r="M286" s="75"/>
      <c r="N286" s="75"/>
      <c r="O286" s="94">
        <v>4.4000000000000004</v>
      </c>
      <c r="P286" s="63">
        <v>19</v>
      </c>
      <c r="R286" s="79"/>
      <c r="S286" s="62" t="s">
        <v>573</v>
      </c>
      <c r="T286" s="99" t="s">
        <v>577</v>
      </c>
      <c r="V286" s="100" t="s">
        <v>578</v>
      </c>
      <c r="W286" s="87" t="s">
        <v>103</v>
      </c>
      <c r="X286" s="87" t="s">
        <v>104</v>
      </c>
    </row>
    <row r="287" spans="1:24" ht="25.5" hidden="1">
      <c r="A287" s="98" t="s">
        <v>579</v>
      </c>
      <c r="B287" s="315"/>
      <c r="C287" s="317"/>
      <c r="D287" s="318"/>
      <c r="E287" s="320"/>
      <c r="F287" s="318"/>
      <c r="G287" s="407"/>
      <c r="H287" s="75"/>
      <c r="I287" s="412"/>
      <c r="J287" s="419"/>
      <c r="K287" s="75"/>
      <c r="L287" s="75"/>
      <c r="M287" s="75"/>
      <c r="N287" s="75"/>
      <c r="O287" s="94">
        <v>4.8</v>
      </c>
      <c r="P287" s="63">
        <v>10</v>
      </c>
      <c r="R287" s="79"/>
      <c r="S287" s="62" t="s">
        <v>573</v>
      </c>
      <c r="T287" s="99" t="s">
        <v>580</v>
      </c>
      <c r="V287" s="63" t="s">
        <v>581</v>
      </c>
      <c r="W287" s="87" t="s">
        <v>103</v>
      </c>
      <c r="X287" s="87" t="s">
        <v>104</v>
      </c>
    </row>
    <row r="288" spans="1:24" ht="51" hidden="1">
      <c r="A288" s="98" t="s">
        <v>582</v>
      </c>
      <c r="B288" s="315"/>
      <c r="C288" s="317"/>
      <c r="D288" s="318"/>
      <c r="E288" s="320"/>
      <c r="F288" s="318"/>
      <c r="G288" s="407"/>
      <c r="H288" s="75"/>
      <c r="I288" s="412"/>
      <c r="J288" s="419"/>
      <c r="K288" s="75"/>
      <c r="L288" s="75"/>
      <c r="M288" s="75"/>
      <c r="N288" s="75"/>
      <c r="O288" s="94">
        <v>4.5999999999999996</v>
      </c>
      <c r="P288" s="63">
        <v>16</v>
      </c>
      <c r="R288" s="79"/>
      <c r="S288" s="62" t="s">
        <v>583</v>
      </c>
      <c r="T288" s="99" t="s">
        <v>584</v>
      </c>
      <c r="V288" s="63" t="s">
        <v>585</v>
      </c>
      <c r="W288" s="87" t="s">
        <v>103</v>
      </c>
      <c r="X288" s="87" t="s">
        <v>104</v>
      </c>
    </row>
    <row r="289" spans="1:24" ht="51" hidden="1">
      <c r="A289" s="98" t="s">
        <v>586</v>
      </c>
      <c r="B289" s="315"/>
      <c r="C289" s="317"/>
      <c r="D289" s="318"/>
      <c r="E289" s="320"/>
      <c r="F289" s="318"/>
      <c r="G289" s="407"/>
      <c r="H289" s="75"/>
      <c r="I289" s="412"/>
      <c r="J289" s="419"/>
      <c r="K289" s="75"/>
      <c r="L289" s="75"/>
      <c r="M289" s="75"/>
      <c r="N289" s="75"/>
      <c r="O289" s="94">
        <v>5.2</v>
      </c>
      <c r="P289" s="63">
        <v>17</v>
      </c>
      <c r="R289" s="79"/>
      <c r="S289" s="62" t="s">
        <v>587</v>
      </c>
      <c r="T289" s="99" t="s">
        <v>588</v>
      </c>
      <c r="V289" s="63" t="s">
        <v>589</v>
      </c>
      <c r="W289" s="87" t="s">
        <v>103</v>
      </c>
      <c r="X289" s="87" t="s">
        <v>104</v>
      </c>
    </row>
    <row r="290" spans="1:24" ht="25.5" hidden="1">
      <c r="A290" s="98" t="s">
        <v>590</v>
      </c>
      <c r="B290" s="315"/>
      <c r="C290" s="317"/>
      <c r="D290" s="318"/>
      <c r="E290" s="320"/>
      <c r="F290" s="318"/>
      <c r="G290" s="407"/>
      <c r="H290" s="75"/>
      <c r="I290" s="412"/>
      <c r="J290" s="419"/>
      <c r="K290" s="75"/>
      <c r="L290" s="75"/>
      <c r="M290" s="75"/>
      <c r="N290" s="75"/>
      <c r="O290" s="94">
        <v>2.2999999999999998</v>
      </c>
      <c r="P290" s="63">
        <v>3</v>
      </c>
      <c r="R290" s="79"/>
      <c r="S290" s="62" t="s">
        <v>587</v>
      </c>
      <c r="T290" s="99" t="s">
        <v>591</v>
      </c>
      <c r="V290" s="63" t="s">
        <v>592</v>
      </c>
      <c r="W290" s="87" t="s">
        <v>103</v>
      </c>
      <c r="X290" s="87" t="s">
        <v>104</v>
      </c>
    </row>
    <row r="291" spans="1:24" ht="25.5" hidden="1">
      <c r="A291" s="98" t="s">
        <v>593</v>
      </c>
      <c r="B291" s="315"/>
      <c r="C291" s="317"/>
      <c r="D291" s="318"/>
      <c r="E291" s="320"/>
      <c r="F291" s="318"/>
      <c r="G291" s="407"/>
      <c r="H291" s="75"/>
      <c r="I291" s="412"/>
      <c r="J291" s="419"/>
      <c r="K291" s="75"/>
      <c r="L291" s="75"/>
      <c r="M291" s="75"/>
      <c r="N291" s="75"/>
      <c r="O291" s="94">
        <v>3.6</v>
      </c>
      <c r="P291" s="63">
        <v>3</v>
      </c>
      <c r="R291" s="79"/>
      <c r="S291" s="62" t="s">
        <v>587</v>
      </c>
      <c r="T291" s="99" t="s">
        <v>594</v>
      </c>
      <c r="V291" s="63" t="s">
        <v>595</v>
      </c>
      <c r="W291" s="87" t="s">
        <v>103</v>
      </c>
      <c r="X291" s="87" t="s">
        <v>104</v>
      </c>
    </row>
    <row r="292" spans="1:24" ht="38.25" hidden="1">
      <c r="A292" s="98" t="s">
        <v>596</v>
      </c>
      <c r="B292" s="315"/>
      <c r="C292" s="317"/>
      <c r="D292" s="318"/>
      <c r="E292" s="320"/>
      <c r="F292" s="318"/>
      <c r="G292" s="407"/>
      <c r="H292" s="75"/>
      <c r="I292" s="412"/>
      <c r="J292" s="419"/>
      <c r="K292" s="75"/>
      <c r="L292" s="75"/>
      <c r="M292" s="75"/>
      <c r="N292" s="75"/>
      <c r="O292" s="94">
        <v>5.9</v>
      </c>
      <c r="P292" s="63">
        <v>6</v>
      </c>
      <c r="R292" s="79"/>
      <c r="S292" s="62" t="s">
        <v>587</v>
      </c>
      <c r="T292" s="99" t="s">
        <v>597</v>
      </c>
      <c r="V292" s="63" t="s">
        <v>598</v>
      </c>
      <c r="W292" s="87" t="s">
        <v>103</v>
      </c>
      <c r="X292" s="87" t="s">
        <v>104</v>
      </c>
    </row>
    <row r="293" spans="1:24" ht="38.25" hidden="1">
      <c r="A293" s="98" t="s">
        <v>599</v>
      </c>
      <c r="B293" s="315"/>
      <c r="C293" s="317"/>
      <c r="D293" s="318"/>
      <c r="E293" s="320"/>
      <c r="F293" s="318"/>
      <c r="G293" s="407"/>
      <c r="H293" s="75"/>
      <c r="I293" s="412"/>
      <c r="J293" s="419"/>
      <c r="K293" s="75"/>
      <c r="L293" s="75"/>
      <c r="M293" s="75"/>
      <c r="N293" s="75"/>
      <c r="O293" s="94">
        <v>4.8</v>
      </c>
      <c r="P293" s="63">
        <v>12</v>
      </c>
      <c r="R293" s="79"/>
      <c r="S293" s="62" t="s">
        <v>600</v>
      </c>
      <c r="T293" s="99" t="s">
        <v>601</v>
      </c>
      <c r="V293" s="63" t="s">
        <v>602</v>
      </c>
      <c r="W293" s="87" t="s">
        <v>103</v>
      </c>
      <c r="X293" s="87" t="s">
        <v>104</v>
      </c>
    </row>
    <row r="294" spans="1:24" ht="38.25" hidden="1">
      <c r="A294" s="98" t="s">
        <v>603</v>
      </c>
      <c r="B294" s="315"/>
      <c r="C294" s="317"/>
      <c r="D294" s="318"/>
      <c r="E294" s="320"/>
      <c r="F294" s="318"/>
      <c r="G294" s="407"/>
      <c r="H294" s="75"/>
      <c r="I294" s="412"/>
      <c r="J294" s="419"/>
      <c r="K294" s="75"/>
      <c r="L294" s="75"/>
      <c r="M294" s="75"/>
      <c r="N294" s="75"/>
      <c r="O294" s="94">
        <v>4.7</v>
      </c>
      <c r="P294" s="63">
        <v>12</v>
      </c>
      <c r="R294" s="79"/>
      <c r="S294" s="62" t="s">
        <v>600</v>
      </c>
      <c r="T294" s="99" t="s">
        <v>604</v>
      </c>
      <c r="V294" s="63" t="s">
        <v>605</v>
      </c>
      <c r="W294" s="87" t="s">
        <v>103</v>
      </c>
      <c r="X294" s="87" t="s">
        <v>104</v>
      </c>
    </row>
    <row r="295" spans="1:24" ht="63.75" hidden="1">
      <c r="A295" s="98" t="s">
        <v>606</v>
      </c>
      <c r="B295" s="315"/>
      <c r="C295" s="317"/>
      <c r="D295" s="318"/>
      <c r="E295" s="320"/>
      <c r="F295" s="318"/>
      <c r="G295" s="407"/>
      <c r="H295" s="75"/>
      <c r="I295" s="412"/>
      <c r="J295" s="419"/>
      <c r="K295" s="75"/>
      <c r="L295" s="75"/>
      <c r="M295" s="75"/>
      <c r="N295" s="75"/>
      <c r="O295" s="94">
        <v>5.9</v>
      </c>
      <c r="P295" s="63">
        <v>24</v>
      </c>
      <c r="R295" s="79"/>
      <c r="S295" s="62" t="s">
        <v>600</v>
      </c>
      <c r="T295" s="99" t="s">
        <v>607</v>
      </c>
      <c r="V295" s="63" t="s">
        <v>608</v>
      </c>
      <c r="W295" s="87" t="s">
        <v>103</v>
      </c>
      <c r="X295" s="87" t="s">
        <v>104</v>
      </c>
    </row>
    <row r="296" spans="1:24" ht="76.5" hidden="1">
      <c r="A296" s="98" t="s">
        <v>609</v>
      </c>
      <c r="B296" s="315"/>
      <c r="C296" s="317"/>
      <c r="D296" s="318"/>
      <c r="E296" s="320"/>
      <c r="F296" s="318"/>
      <c r="G296" s="407"/>
      <c r="H296" s="75"/>
      <c r="I296" s="412"/>
      <c r="J296" s="419"/>
      <c r="K296" s="75"/>
      <c r="L296" s="75"/>
      <c r="M296" s="75"/>
      <c r="N296" s="75"/>
      <c r="O296" s="94">
        <v>3.3</v>
      </c>
      <c r="P296" s="63">
        <v>24</v>
      </c>
      <c r="R296" s="79"/>
      <c r="S296" s="62" t="s">
        <v>610</v>
      </c>
      <c r="T296" s="99" t="s">
        <v>611</v>
      </c>
      <c r="V296" s="63" t="s">
        <v>612</v>
      </c>
      <c r="W296" s="87" t="s">
        <v>103</v>
      </c>
      <c r="X296" s="87" t="s">
        <v>104</v>
      </c>
    </row>
    <row r="297" spans="1:24" ht="25.5" hidden="1">
      <c r="A297" s="98" t="s">
        <v>613</v>
      </c>
      <c r="B297" s="315"/>
      <c r="C297" s="317"/>
      <c r="D297" s="318"/>
      <c r="E297" s="320"/>
      <c r="F297" s="318"/>
      <c r="G297" s="407"/>
      <c r="H297" s="75"/>
      <c r="I297" s="412"/>
      <c r="J297" s="419"/>
      <c r="K297" s="75"/>
      <c r="L297" s="75"/>
      <c r="M297" s="75"/>
      <c r="N297" s="75"/>
      <c r="O297" s="94">
        <v>3.2</v>
      </c>
      <c r="P297" s="63">
        <v>5</v>
      </c>
      <c r="R297" s="79"/>
      <c r="S297" s="62" t="s">
        <v>614</v>
      </c>
      <c r="T297" s="99" t="s">
        <v>615</v>
      </c>
      <c r="V297" s="63" t="s">
        <v>616</v>
      </c>
      <c r="W297" s="87" t="s">
        <v>103</v>
      </c>
      <c r="X297" s="87" t="s">
        <v>104</v>
      </c>
    </row>
    <row r="298" spans="1:24" ht="51" hidden="1">
      <c r="A298" s="98" t="s">
        <v>617</v>
      </c>
      <c r="B298" s="315"/>
      <c r="C298" s="317"/>
      <c r="D298" s="318"/>
      <c r="E298" s="320"/>
      <c r="F298" s="318"/>
      <c r="G298" s="407"/>
      <c r="H298" s="75"/>
      <c r="I298" s="412"/>
      <c r="J298" s="419"/>
      <c r="K298" s="75"/>
      <c r="L298" s="75"/>
      <c r="M298" s="75"/>
      <c r="N298" s="75"/>
      <c r="O298" s="94">
        <v>4.0999999999999996</v>
      </c>
      <c r="P298" s="63">
        <v>11</v>
      </c>
      <c r="R298" s="79"/>
      <c r="S298" s="62" t="s">
        <v>562</v>
      </c>
      <c r="T298" s="99" t="s">
        <v>618</v>
      </c>
      <c r="V298" s="63" t="s">
        <v>619</v>
      </c>
      <c r="W298" s="87" t="s">
        <v>103</v>
      </c>
      <c r="X298" s="87" t="s">
        <v>104</v>
      </c>
    </row>
    <row r="299" spans="1:24" ht="63.75" hidden="1">
      <c r="A299" s="98" t="s">
        <v>620</v>
      </c>
      <c r="B299" s="315"/>
      <c r="C299" s="317"/>
      <c r="D299" s="318"/>
      <c r="E299" s="320"/>
      <c r="F299" s="318"/>
      <c r="G299" s="407"/>
      <c r="H299" s="75"/>
      <c r="I299" s="412"/>
      <c r="J299" s="419"/>
      <c r="K299" s="75"/>
      <c r="L299" s="75"/>
      <c r="M299" s="75"/>
      <c r="N299" s="75"/>
      <c r="O299" s="94">
        <v>7.4</v>
      </c>
      <c r="P299" s="63">
        <v>16</v>
      </c>
      <c r="R299" s="79"/>
      <c r="S299" s="62" t="s">
        <v>562</v>
      </c>
      <c r="T299" s="99" t="s">
        <v>621</v>
      </c>
      <c r="V299" s="63" t="s">
        <v>622</v>
      </c>
      <c r="W299" s="87" t="s">
        <v>103</v>
      </c>
      <c r="X299" s="87" t="s">
        <v>104</v>
      </c>
    </row>
    <row r="300" spans="1:24" ht="25.5">
      <c r="A300" s="101" t="s">
        <v>232</v>
      </c>
      <c r="B300" s="315"/>
      <c r="C300" s="317"/>
      <c r="D300" s="318"/>
      <c r="E300" s="320"/>
      <c r="F300" s="318"/>
      <c r="G300" s="407"/>
      <c r="H300" s="75"/>
      <c r="I300" s="412"/>
      <c r="J300" s="419">
        <v>4</v>
      </c>
      <c r="K300" s="75"/>
      <c r="L300" s="75"/>
      <c r="M300" s="75"/>
      <c r="N300" s="75"/>
      <c r="O300" s="102"/>
      <c r="P300" s="63">
        <v>15</v>
      </c>
      <c r="Q300" s="79"/>
      <c r="R300" s="79" t="s">
        <v>2048</v>
      </c>
      <c r="S300" s="103" t="s">
        <v>232</v>
      </c>
      <c r="T300" s="104"/>
      <c r="U300" s="79"/>
      <c r="V300" s="105" t="s">
        <v>623</v>
      </c>
      <c r="W300" s="87" t="s">
        <v>103</v>
      </c>
      <c r="X300" s="87" t="s">
        <v>104</v>
      </c>
    </row>
    <row r="301" spans="1:24" ht="25.5">
      <c r="A301" s="101" t="s">
        <v>624</v>
      </c>
      <c r="B301" s="315"/>
      <c r="C301" s="317"/>
      <c r="D301" s="318"/>
      <c r="E301" s="320"/>
      <c r="F301" s="318"/>
      <c r="G301" s="407"/>
      <c r="H301" s="75"/>
      <c r="I301" s="412"/>
      <c r="J301" s="419">
        <v>5</v>
      </c>
      <c r="K301" s="75"/>
      <c r="L301" s="75"/>
      <c r="M301" s="75"/>
      <c r="N301" s="75"/>
      <c r="O301" s="102"/>
      <c r="P301" s="63">
        <v>10</v>
      </c>
      <c r="Q301" s="79">
        <v>5</v>
      </c>
      <c r="R301" s="79" t="s">
        <v>2049</v>
      </c>
      <c r="S301" s="103" t="s">
        <v>66</v>
      </c>
      <c r="T301" s="104"/>
      <c r="U301" s="79"/>
      <c r="V301" s="105" t="s">
        <v>625</v>
      </c>
      <c r="W301" s="87" t="s">
        <v>103</v>
      </c>
      <c r="X301" s="87" t="s">
        <v>104</v>
      </c>
    </row>
    <row r="302" spans="1:24" ht="25.5">
      <c r="A302" s="101" t="s">
        <v>626</v>
      </c>
      <c r="B302" s="315"/>
      <c r="C302" s="317"/>
      <c r="D302" s="318"/>
      <c r="E302" s="320"/>
      <c r="F302" s="318"/>
      <c r="G302" s="407"/>
      <c r="H302" s="75"/>
      <c r="I302" s="412"/>
      <c r="J302" s="419">
        <v>6</v>
      </c>
      <c r="K302" s="75"/>
      <c r="L302" s="75"/>
      <c r="M302" s="75"/>
      <c r="N302" s="75"/>
      <c r="O302" s="102"/>
      <c r="P302" s="63">
        <v>6</v>
      </c>
      <c r="Q302" s="79">
        <v>9</v>
      </c>
      <c r="R302" s="79" t="s">
        <v>2049</v>
      </c>
      <c r="S302" s="103" t="s">
        <v>66</v>
      </c>
      <c r="T302" s="104"/>
      <c r="U302" s="79"/>
      <c r="V302" s="105" t="s">
        <v>627</v>
      </c>
      <c r="W302" s="87" t="s">
        <v>103</v>
      </c>
      <c r="X302" s="87" t="s">
        <v>104</v>
      </c>
    </row>
    <row r="303" spans="1:24" ht="25.5">
      <c r="A303" s="101" t="s">
        <v>628</v>
      </c>
      <c r="B303" s="315"/>
      <c r="C303" s="317"/>
      <c r="D303" s="318"/>
      <c r="E303" s="320"/>
      <c r="F303" s="318"/>
      <c r="G303" s="407"/>
      <c r="H303" s="75"/>
      <c r="I303" s="412"/>
      <c r="J303" s="419">
        <v>7</v>
      </c>
      <c r="K303" s="75"/>
      <c r="L303" s="75"/>
      <c r="M303" s="75"/>
      <c r="N303" s="75"/>
      <c r="O303" s="102"/>
      <c r="P303" s="63">
        <v>11</v>
      </c>
      <c r="Q303" s="79">
        <v>1</v>
      </c>
      <c r="R303" s="79" t="s">
        <v>2049</v>
      </c>
      <c r="S303" s="103" t="s">
        <v>66</v>
      </c>
      <c r="T303" s="104"/>
      <c r="U303" s="79"/>
      <c r="V303" s="105" t="s">
        <v>629</v>
      </c>
      <c r="W303" s="87" t="s">
        <v>103</v>
      </c>
      <c r="X303" s="87" t="s">
        <v>104</v>
      </c>
    </row>
    <row r="304" spans="1:24">
      <c r="A304" s="101" t="s">
        <v>630</v>
      </c>
      <c r="B304" s="315"/>
      <c r="C304" s="317"/>
      <c r="D304" s="318"/>
      <c r="E304" s="320"/>
      <c r="F304" s="318"/>
      <c r="G304" s="407"/>
      <c r="H304" s="75"/>
      <c r="I304" s="412"/>
      <c r="J304" s="419">
        <v>11</v>
      </c>
      <c r="K304" s="75"/>
      <c r="L304" s="75"/>
      <c r="M304" s="75"/>
      <c r="N304" s="75"/>
      <c r="O304" s="102"/>
      <c r="P304" s="63">
        <v>5</v>
      </c>
      <c r="Q304" s="79"/>
      <c r="R304" s="79" t="s">
        <v>2049</v>
      </c>
      <c r="S304" s="103" t="s">
        <v>630</v>
      </c>
      <c r="T304" s="104"/>
      <c r="U304" s="79"/>
      <c r="V304" s="105" t="s">
        <v>631</v>
      </c>
      <c r="W304" s="87" t="s">
        <v>103</v>
      </c>
      <c r="X304" s="87" t="s">
        <v>104</v>
      </c>
    </row>
    <row r="305" spans="1:24">
      <c r="A305" s="101" t="s">
        <v>632</v>
      </c>
      <c r="B305" s="315"/>
      <c r="C305" s="317"/>
      <c r="D305" s="318"/>
      <c r="E305" s="320"/>
      <c r="F305" s="318"/>
      <c r="G305" s="407"/>
      <c r="H305" s="75"/>
      <c r="I305" s="412"/>
      <c r="J305" s="419">
        <v>10</v>
      </c>
      <c r="K305" s="75"/>
      <c r="L305" s="75"/>
      <c r="M305" s="75"/>
      <c r="N305" s="75"/>
      <c r="O305" s="102"/>
      <c r="P305" s="63">
        <v>7</v>
      </c>
      <c r="Q305" s="79">
        <v>2</v>
      </c>
      <c r="R305" s="79" t="s">
        <v>2048</v>
      </c>
      <c r="S305" s="103" t="s">
        <v>632</v>
      </c>
      <c r="T305" s="104"/>
      <c r="U305" s="79"/>
      <c r="V305" s="105" t="s">
        <v>633</v>
      </c>
      <c r="W305" s="87" t="s">
        <v>103</v>
      </c>
      <c r="X305" s="87" t="s">
        <v>104</v>
      </c>
    </row>
    <row r="306" spans="1:24" ht="25.5">
      <c r="A306" s="101" t="s">
        <v>634</v>
      </c>
      <c r="B306" s="315"/>
      <c r="C306" s="317"/>
      <c r="D306" s="318"/>
      <c r="E306" s="320"/>
      <c r="F306" s="318"/>
      <c r="G306" s="407"/>
      <c r="H306" s="75"/>
      <c r="I306" s="412"/>
      <c r="J306" s="419">
        <v>3</v>
      </c>
      <c r="K306" s="75"/>
      <c r="L306" s="75"/>
      <c r="M306" s="75"/>
      <c r="N306" s="75"/>
      <c r="O306" s="102"/>
      <c r="P306" s="63">
        <v>9</v>
      </c>
      <c r="Q306" s="79">
        <v>4</v>
      </c>
      <c r="R306" s="79" t="s">
        <v>2048</v>
      </c>
      <c r="S306" s="103" t="s">
        <v>635</v>
      </c>
      <c r="T306" s="104"/>
      <c r="U306" s="79"/>
      <c r="V306" s="105" t="s">
        <v>636</v>
      </c>
      <c r="W306" s="87" t="s">
        <v>103</v>
      </c>
      <c r="X306" s="87" t="s">
        <v>104</v>
      </c>
    </row>
    <row r="307" spans="1:24" ht="25.5">
      <c r="A307" s="101" t="s">
        <v>637</v>
      </c>
      <c r="B307" s="315"/>
      <c r="C307" s="317"/>
      <c r="D307" s="318"/>
      <c r="E307" s="320"/>
      <c r="F307" s="318"/>
      <c r="G307" s="407"/>
      <c r="H307" s="75"/>
      <c r="I307" s="412"/>
      <c r="J307" s="419">
        <v>14</v>
      </c>
      <c r="K307" s="75"/>
      <c r="L307" s="75"/>
      <c r="M307" s="75"/>
      <c r="N307" s="75"/>
      <c r="O307" s="102"/>
      <c r="P307" s="63">
        <v>9</v>
      </c>
      <c r="Q307" s="79">
        <v>3</v>
      </c>
      <c r="R307" s="79" t="s">
        <v>2048</v>
      </c>
      <c r="S307" s="103" t="s">
        <v>638</v>
      </c>
      <c r="T307" s="104"/>
      <c r="U307" s="79"/>
      <c r="V307" s="105" t="s">
        <v>639</v>
      </c>
      <c r="W307" s="87" t="s">
        <v>103</v>
      </c>
      <c r="X307" s="87" t="s">
        <v>104</v>
      </c>
    </row>
    <row r="308" spans="1:24" ht="25.5">
      <c r="A308" s="101" t="s">
        <v>225</v>
      </c>
      <c r="B308" s="315"/>
      <c r="C308" s="317"/>
      <c r="D308" s="318"/>
      <c r="E308" s="320"/>
      <c r="F308" s="318"/>
      <c r="G308" s="407"/>
      <c r="H308" s="75"/>
      <c r="I308" s="412"/>
      <c r="J308" s="419">
        <v>17</v>
      </c>
      <c r="K308" s="75"/>
      <c r="L308" s="75"/>
      <c r="M308" s="75"/>
      <c r="N308" s="75"/>
      <c r="O308" s="102"/>
      <c r="P308" s="63">
        <v>8</v>
      </c>
      <c r="Q308" s="79">
        <v>5</v>
      </c>
      <c r="R308" s="79" t="s">
        <v>2048</v>
      </c>
      <c r="S308" s="103" t="s">
        <v>640</v>
      </c>
      <c r="T308" s="104"/>
      <c r="U308" s="79"/>
      <c r="V308" s="105" t="s">
        <v>641</v>
      </c>
      <c r="W308" s="87" t="s">
        <v>103</v>
      </c>
      <c r="X308" s="87" t="s">
        <v>104</v>
      </c>
    </row>
    <row r="309" spans="1:24" ht="25.5">
      <c r="A309" s="101" t="s">
        <v>642</v>
      </c>
      <c r="B309" s="315"/>
      <c r="C309" s="317"/>
      <c r="D309" s="318"/>
      <c r="E309" s="320"/>
      <c r="F309" s="318"/>
      <c r="G309" s="407"/>
      <c r="H309" s="75"/>
      <c r="I309" s="412"/>
      <c r="J309" s="419">
        <v>12</v>
      </c>
      <c r="K309" s="75"/>
      <c r="L309" s="75"/>
      <c r="M309" s="75"/>
      <c r="N309" s="75"/>
      <c r="O309" s="102"/>
      <c r="P309" s="63">
        <v>3</v>
      </c>
      <c r="Q309" s="79">
        <v>11</v>
      </c>
      <c r="R309" s="79" t="s">
        <v>2048</v>
      </c>
      <c r="S309" s="103" t="s">
        <v>642</v>
      </c>
      <c r="T309" s="104"/>
      <c r="U309" s="79"/>
      <c r="V309" s="105" t="s">
        <v>643</v>
      </c>
      <c r="W309" s="87" t="s">
        <v>103</v>
      </c>
      <c r="X309" s="87" t="s">
        <v>104</v>
      </c>
    </row>
    <row r="310" spans="1:24">
      <c r="A310" s="101" t="s">
        <v>644</v>
      </c>
      <c r="B310" s="315"/>
      <c r="C310" s="317"/>
      <c r="D310" s="318"/>
      <c r="E310" s="320"/>
      <c r="F310" s="318"/>
      <c r="G310" s="407"/>
      <c r="H310" s="75"/>
      <c r="I310" s="412"/>
      <c r="J310" s="419">
        <v>13</v>
      </c>
      <c r="K310" s="75"/>
      <c r="L310" s="75"/>
      <c r="M310" s="75"/>
      <c r="N310" s="75"/>
      <c r="O310" s="102"/>
      <c r="P310" s="63">
        <v>4</v>
      </c>
      <c r="Q310" s="79"/>
      <c r="R310" s="79" t="s">
        <v>2049</v>
      </c>
      <c r="S310" s="103" t="s">
        <v>644</v>
      </c>
      <c r="T310" s="104"/>
      <c r="U310" s="79"/>
      <c r="V310" s="105" t="s">
        <v>645</v>
      </c>
      <c r="W310" s="87" t="s">
        <v>103</v>
      </c>
      <c r="X310" s="87" t="s">
        <v>104</v>
      </c>
    </row>
    <row r="311" spans="1:24" ht="25.5">
      <c r="A311" s="101" t="s">
        <v>646</v>
      </c>
      <c r="B311" s="315"/>
      <c r="C311" s="317"/>
      <c r="D311" s="318"/>
      <c r="E311" s="320"/>
      <c r="F311" s="318"/>
      <c r="G311" s="407"/>
      <c r="H311" s="75"/>
      <c r="I311" s="412"/>
      <c r="J311" s="419">
        <v>20</v>
      </c>
      <c r="K311" s="75"/>
      <c r="L311" s="75"/>
      <c r="M311" s="75"/>
      <c r="N311" s="75"/>
      <c r="O311" s="102"/>
      <c r="P311" s="63">
        <v>6</v>
      </c>
      <c r="Q311" s="79">
        <v>6</v>
      </c>
      <c r="R311" s="79" t="s">
        <v>2048</v>
      </c>
      <c r="S311" s="103" t="s">
        <v>647</v>
      </c>
      <c r="T311" s="104"/>
      <c r="U311" s="79"/>
      <c r="V311" s="105" t="s">
        <v>648</v>
      </c>
      <c r="W311" s="87" t="s">
        <v>103</v>
      </c>
      <c r="X311" s="87" t="s">
        <v>104</v>
      </c>
    </row>
    <row r="312" spans="1:24" ht="38.25">
      <c r="A312" s="101" t="s">
        <v>649</v>
      </c>
      <c r="B312" s="315"/>
      <c r="C312" s="317"/>
      <c r="D312" s="318"/>
      <c r="E312" s="320"/>
      <c r="F312" s="318"/>
      <c r="G312" s="407"/>
      <c r="H312" s="75"/>
      <c r="I312" s="412"/>
      <c r="J312" s="419">
        <v>21</v>
      </c>
      <c r="K312" s="75"/>
      <c r="L312" s="75"/>
      <c r="M312" s="75"/>
      <c r="N312" s="75"/>
      <c r="O312" s="102"/>
      <c r="P312" s="63">
        <v>4</v>
      </c>
      <c r="Q312" s="79">
        <v>10</v>
      </c>
      <c r="R312" s="79" t="s">
        <v>2048</v>
      </c>
      <c r="S312" s="103" t="s">
        <v>650</v>
      </c>
      <c r="T312" s="104"/>
      <c r="U312" s="79"/>
      <c r="V312" s="105" t="s">
        <v>651</v>
      </c>
      <c r="W312" s="87" t="s">
        <v>103</v>
      </c>
      <c r="X312" s="87" t="s">
        <v>104</v>
      </c>
    </row>
    <row r="313" spans="1:24" ht="25.5">
      <c r="A313" s="101" t="s">
        <v>652</v>
      </c>
      <c r="B313" s="315"/>
      <c r="C313" s="317"/>
      <c r="D313" s="318"/>
      <c r="E313" s="320"/>
      <c r="F313" s="318"/>
      <c r="G313" s="407"/>
      <c r="H313" s="75"/>
      <c r="I313" s="412"/>
      <c r="J313" s="419">
        <v>24</v>
      </c>
      <c r="K313" s="75"/>
      <c r="L313" s="75"/>
      <c r="M313" s="75"/>
      <c r="N313" s="75"/>
      <c r="O313" s="102"/>
      <c r="P313" s="63">
        <v>12</v>
      </c>
      <c r="Q313" s="79">
        <v>1</v>
      </c>
      <c r="R313" s="79" t="s">
        <v>2049</v>
      </c>
      <c r="S313" s="103" t="s">
        <v>652</v>
      </c>
      <c r="T313" s="104"/>
      <c r="U313" s="79"/>
      <c r="V313" s="105" t="s">
        <v>653</v>
      </c>
      <c r="W313" s="87" t="s">
        <v>103</v>
      </c>
      <c r="X313" s="87" t="s">
        <v>104</v>
      </c>
    </row>
    <row r="314" spans="1:24" ht="25.5">
      <c r="A314" s="101" t="s">
        <v>654</v>
      </c>
      <c r="B314" s="315"/>
      <c r="C314" s="317"/>
      <c r="D314" s="318"/>
      <c r="E314" s="320"/>
      <c r="F314" s="318"/>
      <c r="G314" s="407"/>
      <c r="H314" s="75"/>
      <c r="I314" s="412"/>
      <c r="J314" s="419">
        <v>25</v>
      </c>
      <c r="K314" s="75"/>
      <c r="L314" s="75"/>
      <c r="M314" s="75"/>
      <c r="N314" s="75"/>
      <c r="O314" s="102"/>
      <c r="P314" s="63">
        <v>6</v>
      </c>
      <c r="Q314" s="79">
        <v>9</v>
      </c>
      <c r="R314" s="79" t="s">
        <v>2049</v>
      </c>
      <c r="S314" s="103" t="s">
        <v>654</v>
      </c>
      <c r="T314" s="104"/>
      <c r="U314" s="79"/>
      <c r="V314" s="105" t="s">
        <v>655</v>
      </c>
      <c r="W314" s="87" t="s">
        <v>103</v>
      </c>
      <c r="X314" s="87" t="s">
        <v>104</v>
      </c>
    </row>
    <row r="315" spans="1:24" ht="25.5">
      <c r="A315" s="101" t="s">
        <v>654</v>
      </c>
      <c r="B315" s="315"/>
      <c r="C315" s="317"/>
      <c r="D315" s="318"/>
      <c r="E315" s="320"/>
      <c r="F315" s="318"/>
      <c r="G315" s="407"/>
      <c r="H315" s="75"/>
      <c r="I315" s="412"/>
      <c r="J315" s="419">
        <v>26</v>
      </c>
      <c r="K315" s="75"/>
      <c r="L315" s="75"/>
      <c r="M315" s="75"/>
      <c r="N315" s="75"/>
      <c r="O315" s="102"/>
      <c r="P315" s="79">
        <v>1</v>
      </c>
      <c r="Q315" s="79">
        <v>15</v>
      </c>
      <c r="R315" s="79" t="s">
        <v>2048</v>
      </c>
      <c r="S315" s="103" t="s">
        <v>654</v>
      </c>
      <c r="T315" s="104"/>
      <c r="U315" s="79"/>
      <c r="V315" s="105" t="s">
        <v>656</v>
      </c>
      <c r="W315" s="87" t="s">
        <v>103</v>
      </c>
      <c r="X315" s="87" t="s">
        <v>104</v>
      </c>
    </row>
    <row r="316" spans="1:24" ht="25.5">
      <c r="A316" s="101" t="s">
        <v>654</v>
      </c>
      <c r="B316" s="315"/>
      <c r="C316" s="317"/>
      <c r="D316" s="318"/>
      <c r="E316" s="320"/>
      <c r="F316" s="318"/>
      <c r="G316" s="407"/>
      <c r="H316" s="75"/>
      <c r="I316" s="412"/>
      <c r="J316" s="419">
        <v>27</v>
      </c>
      <c r="K316" s="75"/>
      <c r="L316" s="75"/>
      <c r="M316" s="75"/>
      <c r="N316" s="75"/>
      <c r="O316" s="102"/>
      <c r="P316" s="79">
        <v>10</v>
      </c>
      <c r="Q316" s="79">
        <v>6</v>
      </c>
      <c r="R316" s="79" t="s">
        <v>2049</v>
      </c>
      <c r="S316" s="103" t="s">
        <v>654</v>
      </c>
      <c r="T316" s="104"/>
      <c r="U316" s="79"/>
      <c r="V316" s="105" t="s">
        <v>657</v>
      </c>
      <c r="W316" s="87" t="s">
        <v>103</v>
      </c>
      <c r="X316" s="87" t="s">
        <v>104</v>
      </c>
    </row>
    <row r="317" spans="1:24">
      <c r="A317" s="101" t="s">
        <v>658</v>
      </c>
      <c r="B317" s="315"/>
      <c r="C317" s="317"/>
      <c r="D317" s="318"/>
      <c r="E317" s="320"/>
      <c r="F317" s="318"/>
      <c r="G317" s="407"/>
      <c r="H317" s="75"/>
      <c r="I317" s="412"/>
      <c r="J317" s="419">
        <v>28</v>
      </c>
      <c r="K317" s="75"/>
      <c r="L317" s="75"/>
      <c r="M317" s="75"/>
      <c r="N317" s="75"/>
      <c r="O317" s="102"/>
      <c r="P317" s="79">
        <v>3</v>
      </c>
      <c r="Q317" s="79"/>
      <c r="R317" s="79" t="s">
        <v>2049</v>
      </c>
      <c r="S317" s="103" t="s">
        <v>658</v>
      </c>
      <c r="T317" s="104"/>
      <c r="U317" s="79"/>
      <c r="V317" s="105" t="s">
        <v>659</v>
      </c>
      <c r="W317" s="87" t="s">
        <v>103</v>
      </c>
      <c r="X317" s="87" t="s">
        <v>104</v>
      </c>
    </row>
    <row r="318" spans="1:24" ht="25.5">
      <c r="A318" s="106" t="s">
        <v>660</v>
      </c>
      <c r="B318" s="315"/>
      <c r="C318" s="317"/>
      <c r="D318" s="318"/>
      <c r="E318" s="320"/>
      <c r="F318" s="318"/>
      <c r="G318" s="407"/>
      <c r="H318" s="75"/>
      <c r="I318" s="412"/>
      <c r="J318" s="419" t="s">
        <v>2068</v>
      </c>
      <c r="K318" s="75"/>
      <c r="L318" s="75"/>
      <c r="M318" s="75"/>
      <c r="N318" s="75"/>
      <c r="O318" s="102"/>
      <c r="P318" s="79">
        <v>5</v>
      </c>
      <c r="Q318" s="79">
        <v>7</v>
      </c>
      <c r="R318" s="79" t="s">
        <v>2048</v>
      </c>
      <c r="S318" s="103" t="s">
        <v>640</v>
      </c>
      <c r="T318" s="104"/>
      <c r="U318" s="79"/>
      <c r="V318" s="105" t="s">
        <v>661</v>
      </c>
      <c r="W318" s="87" t="s">
        <v>106</v>
      </c>
      <c r="X318" s="87" t="s">
        <v>104</v>
      </c>
    </row>
    <row r="319" spans="1:24" ht="25.5">
      <c r="A319" s="106" t="s">
        <v>662</v>
      </c>
      <c r="B319" s="315"/>
      <c r="C319" s="317"/>
      <c r="D319" s="318"/>
      <c r="E319" s="320"/>
      <c r="F319" s="318"/>
      <c r="G319" s="407"/>
      <c r="H319" s="75"/>
      <c r="I319" s="412"/>
      <c r="J319" s="419" t="s">
        <v>2068</v>
      </c>
      <c r="K319" s="75"/>
      <c r="L319" s="75"/>
      <c r="M319" s="75"/>
      <c r="N319" s="75"/>
      <c r="O319" s="102"/>
      <c r="P319" s="79"/>
      <c r="Q319" s="79">
        <v>13</v>
      </c>
      <c r="R319" s="79" t="s">
        <v>2048</v>
      </c>
      <c r="S319" s="103" t="s">
        <v>663</v>
      </c>
      <c r="T319" s="104"/>
      <c r="U319" s="79"/>
      <c r="V319" s="105" t="s">
        <v>664</v>
      </c>
      <c r="W319" s="87" t="s">
        <v>106</v>
      </c>
      <c r="X319" s="87" t="s">
        <v>104</v>
      </c>
    </row>
    <row r="320" spans="1:24" ht="38.25">
      <c r="A320" s="106" t="s">
        <v>665</v>
      </c>
      <c r="B320" s="315"/>
      <c r="C320" s="317"/>
      <c r="D320" s="318"/>
      <c r="E320" s="320"/>
      <c r="F320" s="318"/>
      <c r="G320" s="407"/>
      <c r="H320" s="75"/>
      <c r="I320" s="412"/>
      <c r="J320" s="419" t="s">
        <v>2068</v>
      </c>
      <c r="K320" s="75"/>
      <c r="L320" s="75"/>
      <c r="M320" s="75"/>
      <c r="N320" s="75"/>
      <c r="O320" s="102"/>
      <c r="Q320" s="79">
        <v>15</v>
      </c>
      <c r="R320" s="79" t="s">
        <v>2048</v>
      </c>
      <c r="S320" s="103" t="s">
        <v>663</v>
      </c>
      <c r="T320" s="104"/>
      <c r="U320" s="79"/>
      <c r="V320" s="105" t="s">
        <v>666</v>
      </c>
      <c r="W320" s="87" t="s">
        <v>106</v>
      </c>
      <c r="X320" s="87" t="s">
        <v>104</v>
      </c>
    </row>
    <row r="321" spans="1:24" ht="25.5">
      <c r="A321" s="107" t="s">
        <v>667</v>
      </c>
      <c r="B321" s="315"/>
      <c r="C321" s="317"/>
      <c r="D321" s="318"/>
      <c r="E321" s="320"/>
      <c r="F321" s="318"/>
      <c r="G321" s="407"/>
      <c r="H321" s="75"/>
      <c r="I321" s="412"/>
      <c r="J321" s="419" t="s">
        <v>2068</v>
      </c>
      <c r="K321" s="75"/>
      <c r="L321" s="75"/>
      <c r="M321" s="75"/>
      <c r="N321" s="75"/>
      <c r="O321" s="102"/>
      <c r="P321" s="79"/>
      <c r="Q321" s="79">
        <v>14</v>
      </c>
      <c r="R321" s="79" t="s">
        <v>2048</v>
      </c>
      <c r="S321" s="103" t="s">
        <v>668</v>
      </c>
      <c r="T321" s="104"/>
      <c r="U321" s="79"/>
      <c r="V321" s="105" t="s">
        <v>669</v>
      </c>
      <c r="W321" s="87" t="s">
        <v>106</v>
      </c>
      <c r="X321" s="87" t="s">
        <v>104</v>
      </c>
    </row>
    <row r="322" spans="1:24" ht="38.25">
      <c r="A322" s="107" t="s">
        <v>667</v>
      </c>
      <c r="B322" s="315"/>
      <c r="C322" s="317"/>
      <c r="D322" s="318"/>
      <c r="E322" s="320"/>
      <c r="F322" s="318"/>
      <c r="G322" s="407"/>
      <c r="H322" s="75"/>
      <c r="I322" s="412"/>
      <c r="J322" s="419" t="s">
        <v>2068</v>
      </c>
      <c r="K322" s="75"/>
      <c r="L322" s="75"/>
      <c r="M322" s="75"/>
      <c r="N322" s="75"/>
      <c r="O322" s="102"/>
      <c r="P322" s="79"/>
      <c r="Q322" s="79">
        <v>14</v>
      </c>
      <c r="R322" s="79" t="s">
        <v>2048</v>
      </c>
      <c r="S322" s="103" t="s">
        <v>668</v>
      </c>
      <c r="T322" s="104"/>
      <c r="U322" s="79"/>
      <c r="V322" s="105" t="s">
        <v>670</v>
      </c>
      <c r="W322" s="87" t="s">
        <v>106</v>
      </c>
      <c r="X322" s="87" t="s">
        <v>104</v>
      </c>
    </row>
    <row r="323" spans="1:24" ht="25.5">
      <c r="A323" s="107" t="s">
        <v>667</v>
      </c>
      <c r="B323" s="315"/>
      <c r="C323" s="317"/>
      <c r="D323" s="318"/>
      <c r="E323" s="320"/>
      <c r="F323" s="318"/>
      <c r="G323" s="407"/>
      <c r="H323" s="75"/>
      <c r="I323" s="412"/>
      <c r="J323" s="419" t="s">
        <v>2068</v>
      </c>
      <c r="K323" s="75"/>
      <c r="L323" s="75"/>
      <c r="M323" s="75"/>
      <c r="N323" s="75"/>
      <c r="O323" s="102"/>
      <c r="P323" s="79"/>
      <c r="Q323" s="79">
        <v>14</v>
      </c>
      <c r="R323" s="79" t="s">
        <v>2048</v>
      </c>
      <c r="S323" s="103" t="s">
        <v>668</v>
      </c>
      <c r="T323" s="104"/>
      <c r="U323" s="79"/>
      <c r="V323" s="105" t="s">
        <v>671</v>
      </c>
      <c r="W323" s="87" t="s">
        <v>106</v>
      </c>
      <c r="X323" s="87" t="s">
        <v>104</v>
      </c>
    </row>
    <row r="324" spans="1:24" ht="38.25">
      <c r="A324" s="108" t="s">
        <v>672</v>
      </c>
      <c r="B324" s="315"/>
      <c r="C324" s="317"/>
      <c r="D324" s="318"/>
      <c r="E324" s="320"/>
      <c r="F324" s="318"/>
      <c r="G324" s="407"/>
      <c r="H324" s="75"/>
      <c r="I324" s="412"/>
      <c r="J324" s="419" t="s">
        <v>2068</v>
      </c>
      <c r="K324" s="75"/>
      <c r="L324" s="75"/>
      <c r="M324" s="75"/>
      <c r="N324" s="75"/>
      <c r="O324" s="102"/>
      <c r="P324" s="79"/>
      <c r="Q324" s="79">
        <v>15</v>
      </c>
      <c r="R324" s="79" t="s">
        <v>2048</v>
      </c>
      <c r="S324" s="103" t="s">
        <v>673</v>
      </c>
      <c r="T324" s="104"/>
      <c r="U324" s="79"/>
      <c r="V324" s="105" t="s">
        <v>674</v>
      </c>
      <c r="W324" s="87" t="s">
        <v>106</v>
      </c>
      <c r="X324" s="87" t="s">
        <v>104</v>
      </c>
    </row>
    <row r="325" spans="1:24" ht="38.25">
      <c r="A325" s="108" t="s">
        <v>675</v>
      </c>
      <c r="B325" s="315"/>
      <c r="C325" s="317"/>
      <c r="D325" s="318"/>
      <c r="E325" s="320"/>
      <c r="F325" s="318"/>
      <c r="G325" s="407"/>
      <c r="H325" s="75"/>
      <c r="I325" s="412"/>
      <c r="J325" s="419" t="s">
        <v>2068</v>
      </c>
      <c r="K325" s="75"/>
      <c r="L325" s="75"/>
      <c r="M325" s="75"/>
      <c r="N325" s="75"/>
      <c r="O325" s="102"/>
      <c r="P325" s="79"/>
      <c r="Q325" s="79">
        <v>13</v>
      </c>
      <c r="R325" s="79" t="s">
        <v>2048</v>
      </c>
      <c r="S325" s="103" t="s">
        <v>676</v>
      </c>
      <c r="T325" s="104"/>
      <c r="U325" s="79"/>
      <c r="V325" s="105" t="s">
        <v>677</v>
      </c>
      <c r="W325" s="87" t="s">
        <v>106</v>
      </c>
      <c r="X325" s="87" t="s">
        <v>104</v>
      </c>
    </row>
    <row r="326" spans="1:24">
      <c r="A326" s="108" t="s">
        <v>678</v>
      </c>
      <c r="B326" s="315"/>
      <c r="C326" s="317"/>
      <c r="D326" s="318"/>
      <c r="E326" s="320"/>
      <c r="F326" s="318"/>
      <c r="G326" s="407"/>
      <c r="H326" s="75"/>
      <c r="I326" s="412"/>
      <c r="J326" s="419" t="s">
        <v>2068</v>
      </c>
      <c r="K326" s="75"/>
      <c r="L326" s="75"/>
      <c r="M326" s="75"/>
      <c r="N326" s="75"/>
      <c r="O326" s="102"/>
      <c r="P326" s="79"/>
      <c r="Q326" s="79">
        <v>6</v>
      </c>
      <c r="R326" s="79" t="s">
        <v>2048</v>
      </c>
      <c r="S326" s="103" t="s">
        <v>232</v>
      </c>
      <c r="T326" s="104"/>
      <c r="U326" s="79"/>
      <c r="V326" s="105" t="s">
        <v>679</v>
      </c>
      <c r="W326" s="87" t="s">
        <v>106</v>
      </c>
      <c r="X326" s="87" t="s">
        <v>104</v>
      </c>
    </row>
    <row r="327" spans="1:24" ht="25.5" hidden="1">
      <c r="A327" s="109" t="s">
        <v>680</v>
      </c>
      <c r="B327" s="75"/>
      <c r="C327" s="75"/>
      <c r="D327" s="75"/>
      <c r="E327" s="75"/>
      <c r="F327" s="318"/>
      <c r="G327" s="407"/>
      <c r="H327" s="75"/>
      <c r="I327" s="412"/>
      <c r="J327" s="420"/>
      <c r="K327" s="75"/>
      <c r="L327" s="75"/>
      <c r="M327" s="75"/>
      <c r="N327" s="75"/>
      <c r="O327" s="102"/>
      <c r="P327" s="79">
        <v>9</v>
      </c>
      <c r="Q327" s="79">
        <v>6</v>
      </c>
      <c r="R327" s="79"/>
      <c r="S327" s="103" t="s">
        <v>681</v>
      </c>
      <c r="T327" s="104"/>
      <c r="U327" s="79"/>
      <c r="V327" s="105" t="s">
        <v>682</v>
      </c>
      <c r="W327" s="87" t="s">
        <v>106</v>
      </c>
      <c r="X327" s="87" t="s">
        <v>104</v>
      </c>
    </row>
    <row r="328" spans="1:24" ht="25.5" hidden="1">
      <c r="A328" s="109" t="s">
        <v>683</v>
      </c>
      <c r="B328" s="75"/>
      <c r="C328" s="75"/>
      <c r="D328" s="75"/>
      <c r="E328" s="75"/>
      <c r="F328" s="318"/>
      <c r="G328" s="407"/>
      <c r="H328" s="75"/>
      <c r="I328" s="412"/>
      <c r="J328" s="420"/>
      <c r="K328" s="75"/>
      <c r="L328" s="75"/>
      <c r="M328" s="75"/>
      <c r="N328" s="75"/>
      <c r="O328" s="102"/>
      <c r="Q328" s="79">
        <v>12</v>
      </c>
      <c r="R328" s="79"/>
      <c r="S328" s="103" t="s">
        <v>684</v>
      </c>
      <c r="T328" s="104"/>
      <c r="U328" s="79"/>
      <c r="V328" s="105" t="s">
        <v>685</v>
      </c>
      <c r="W328" s="87" t="s">
        <v>106</v>
      </c>
      <c r="X328" s="87" t="s">
        <v>104</v>
      </c>
    </row>
    <row r="329" spans="1:24" ht="25.5" hidden="1">
      <c r="A329" s="98" t="s">
        <v>686</v>
      </c>
      <c r="B329" s="75"/>
      <c r="C329" s="75"/>
      <c r="D329" s="75"/>
      <c r="E329" s="75"/>
      <c r="F329" s="318"/>
      <c r="G329" s="407"/>
      <c r="H329" s="75"/>
      <c r="I329" s="412"/>
      <c r="J329" s="420"/>
      <c r="K329" s="75"/>
      <c r="L329" s="75"/>
      <c r="M329" s="75"/>
      <c r="N329" s="75"/>
      <c r="O329" s="102"/>
      <c r="P329" s="79">
        <v>12</v>
      </c>
      <c r="Q329" s="79">
        <v>6</v>
      </c>
      <c r="R329" s="79"/>
      <c r="S329" s="83" t="s">
        <v>687</v>
      </c>
      <c r="T329" s="104"/>
      <c r="U329" s="79"/>
      <c r="V329" s="105" t="s">
        <v>688</v>
      </c>
      <c r="W329" s="87" t="s">
        <v>106</v>
      </c>
      <c r="X329" s="87" t="s">
        <v>104</v>
      </c>
    </row>
    <row r="330" spans="1:24" hidden="1">
      <c r="A330" s="98" t="s">
        <v>689</v>
      </c>
      <c r="B330" s="75"/>
      <c r="C330" s="75"/>
      <c r="D330" s="75"/>
      <c r="E330" s="75"/>
      <c r="F330" s="318"/>
      <c r="G330" s="407"/>
      <c r="H330" s="75"/>
      <c r="I330" s="412"/>
      <c r="J330" s="420"/>
      <c r="K330" s="75"/>
      <c r="L330" s="75"/>
      <c r="M330" s="75"/>
      <c r="N330" s="75"/>
      <c r="O330" s="102"/>
      <c r="P330" s="79">
        <v>8</v>
      </c>
      <c r="Q330" s="79">
        <v>1</v>
      </c>
      <c r="R330" s="79"/>
      <c r="S330" s="83" t="s">
        <v>690</v>
      </c>
      <c r="T330" s="104"/>
      <c r="U330" s="79"/>
      <c r="V330" s="63" t="s">
        <v>691</v>
      </c>
      <c r="W330" s="87" t="s">
        <v>106</v>
      </c>
      <c r="X330" s="87" t="s">
        <v>104</v>
      </c>
    </row>
    <row r="331" spans="1:24" ht="25.5" hidden="1">
      <c r="A331" s="98" t="s">
        <v>692</v>
      </c>
      <c r="B331" s="75"/>
      <c r="C331" s="75"/>
      <c r="D331" s="75"/>
      <c r="E331" s="75"/>
      <c r="F331" s="318"/>
      <c r="G331" s="407"/>
      <c r="H331" s="75"/>
      <c r="I331" s="412"/>
      <c r="J331" s="420"/>
      <c r="K331" s="75"/>
      <c r="L331" s="75"/>
      <c r="M331" s="75"/>
      <c r="N331" s="75"/>
      <c r="O331" s="102"/>
      <c r="P331" s="79">
        <v>15</v>
      </c>
      <c r="Q331" s="79"/>
      <c r="R331" s="79"/>
      <c r="S331" s="83" t="s">
        <v>693</v>
      </c>
      <c r="T331" s="104"/>
      <c r="U331" s="79"/>
      <c r="V331" s="63" t="s">
        <v>694</v>
      </c>
      <c r="W331" s="87" t="s">
        <v>106</v>
      </c>
      <c r="X331" s="87" t="s">
        <v>104</v>
      </c>
    </row>
    <row r="332" spans="1:24" ht="25.5" hidden="1">
      <c r="A332" s="98" t="s">
        <v>695</v>
      </c>
      <c r="B332" s="75"/>
      <c r="C332" s="75"/>
      <c r="D332" s="75"/>
      <c r="E332" s="75"/>
      <c r="F332" s="318"/>
      <c r="G332" s="407"/>
      <c r="H332" s="75"/>
      <c r="I332" s="412"/>
      <c r="J332" s="420"/>
      <c r="K332" s="75"/>
      <c r="L332" s="75"/>
      <c r="M332" s="75"/>
      <c r="N332" s="75"/>
      <c r="O332" s="102"/>
      <c r="P332" s="79"/>
      <c r="Q332" s="79">
        <v>17</v>
      </c>
      <c r="R332" s="79"/>
      <c r="S332" s="83" t="s">
        <v>696</v>
      </c>
      <c r="T332" s="104"/>
      <c r="U332" s="79"/>
      <c r="V332" s="63" t="s">
        <v>697</v>
      </c>
      <c r="W332" s="87" t="s">
        <v>106</v>
      </c>
      <c r="X332" s="87" t="s">
        <v>104</v>
      </c>
    </row>
    <row r="333" spans="1:24" ht="25.5" hidden="1">
      <c r="A333" s="98" t="s">
        <v>698</v>
      </c>
      <c r="B333" s="75"/>
      <c r="C333" s="75"/>
      <c r="D333" s="75"/>
      <c r="E333" s="75"/>
      <c r="F333" s="318"/>
      <c r="G333" s="407"/>
      <c r="H333" s="75"/>
      <c r="I333" s="412"/>
      <c r="J333" s="420"/>
      <c r="K333" s="75"/>
      <c r="L333" s="75"/>
      <c r="M333" s="75"/>
      <c r="N333" s="75"/>
      <c r="O333" s="102"/>
      <c r="P333" s="79">
        <v>12</v>
      </c>
      <c r="Q333" s="79">
        <v>5</v>
      </c>
      <c r="R333" s="79"/>
      <c r="S333" s="83" t="s">
        <v>699</v>
      </c>
      <c r="T333" s="104"/>
      <c r="U333" s="79"/>
      <c r="V333" s="105" t="s">
        <v>700</v>
      </c>
      <c r="W333" s="87" t="s">
        <v>437</v>
      </c>
      <c r="X333" s="87" t="s">
        <v>437</v>
      </c>
    </row>
    <row r="334" spans="1:24" ht="25.5" hidden="1">
      <c r="A334" s="98" t="s">
        <v>701</v>
      </c>
      <c r="B334" s="75"/>
      <c r="C334" s="75"/>
      <c r="D334" s="75"/>
      <c r="E334" s="75"/>
      <c r="F334" s="318"/>
      <c r="G334" s="407"/>
      <c r="H334" s="75"/>
      <c r="I334" s="412"/>
      <c r="J334" s="420"/>
      <c r="K334" s="75"/>
      <c r="L334" s="75"/>
      <c r="M334" s="75"/>
      <c r="N334" s="75"/>
      <c r="O334" s="102"/>
      <c r="P334" s="79">
        <v>11</v>
      </c>
      <c r="Q334" s="79"/>
      <c r="R334" s="79"/>
      <c r="S334" s="83" t="s">
        <v>702</v>
      </c>
      <c r="T334" s="104"/>
      <c r="U334" s="79"/>
      <c r="V334" s="105" t="s">
        <v>703</v>
      </c>
      <c r="W334" s="87" t="s">
        <v>437</v>
      </c>
      <c r="X334" s="87" t="s">
        <v>437</v>
      </c>
    </row>
    <row r="335" spans="1:24" ht="25.5" hidden="1">
      <c r="A335" s="98" t="s">
        <v>704</v>
      </c>
      <c r="B335" s="75"/>
      <c r="C335" s="75"/>
      <c r="D335" s="75"/>
      <c r="E335" s="75"/>
      <c r="F335" s="318"/>
      <c r="G335" s="407"/>
      <c r="H335" s="75"/>
      <c r="I335" s="412"/>
      <c r="J335" s="420"/>
      <c r="K335" s="75"/>
      <c r="L335" s="75"/>
      <c r="M335" s="75"/>
      <c r="N335" s="75"/>
      <c r="O335" s="102"/>
      <c r="P335" s="79"/>
      <c r="Q335" s="79">
        <v>12</v>
      </c>
      <c r="R335" s="79"/>
      <c r="S335" s="83" t="s">
        <v>705</v>
      </c>
      <c r="T335" s="104"/>
      <c r="U335" s="79"/>
      <c r="V335" s="105" t="s">
        <v>706</v>
      </c>
      <c r="W335" s="87" t="s">
        <v>437</v>
      </c>
      <c r="X335" s="87" t="s">
        <v>437</v>
      </c>
    </row>
    <row r="336" spans="1:24" ht="25.5" hidden="1">
      <c r="A336" s="98" t="s">
        <v>707</v>
      </c>
      <c r="B336" s="75"/>
      <c r="C336" s="75"/>
      <c r="D336" s="75"/>
      <c r="E336" s="75"/>
      <c r="F336" s="318"/>
      <c r="G336" s="407"/>
      <c r="H336" s="75"/>
      <c r="I336" s="412"/>
      <c r="J336" s="420"/>
      <c r="K336" s="75"/>
      <c r="L336" s="75"/>
      <c r="M336" s="75"/>
      <c r="N336" s="75"/>
      <c r="O336" s="102"/>
      <c r="P336" s="79">
        <v>8</v>
      </c>
      <c r="Q336" s="79">
        <v>4</v>
      </c>
      <c r="R336" s="79"/>
      <c r="S336" s="83" t="s">
        <v>708</v>
      </c>
      <c r="T336" s="104"/>
      <c r="U336" s="79"/>
      <c r="V336" s="105" t="s">
        <v>709</v>
      </c>
      <c r="W336" s="87" t="s">
        <v>437</v>
      </c>
      <c r="X336" s="87" t="s">
        <v>437</v>
      </c>
    </row>
    <row r="337" spans="1:24" ht="25.5" hidden="1">
      <c r="A337" s="98" t="s">
        <v>710</v>
      </c>
      <c r="B337" s="75"/>
      <c r="C337" s="75"/>
      <c r="D337" s="75"/>
      <c r="E337" s="75"/>
      <c r="F337" s="318"/>
      <c r="G337" s="407"/>
      <c r="H337" s="75"/>
      <c r="I337" s="412"/>
      <c r="J337" s="420"/>
      <c r="K337" s="75"/>
      <c r="L337" s="75"/>
      <c r="M337" s="75"/>
      <c r="N337" s="75"/>
      <c r="O337" s="102"/>
      <c r="P337" s="79">
        <v>14</v>
      </c>
      <c r="Q337" s="79"/>
      <c r="R337" s="79"/>
      <c r="S337" s="83" t="s">
        <v>711</v>
      </c>
      <c r="T337" s="104"/>
      <c r="U337" s="79"/>
      <c r="V337" s="105" t="s">
        <v>712</v>
      </c>
      <c r="W337" s="87" t="s">
        <v>437</v>
      </c>
      <c r="X337" s="87" t="s">
        <v>437</v>
      </c>
    </row>
    <row r="338" spans="1:24" ht="25.5" hidden="1">
      <c r="A338" s="98" t="s">
        <v>713</v>
      </c>
      <c r="B338" s="75"/>
      <c r="C338" s="75"/>
      <c r="D338" s="75"/>
      <c r="E338" s="75"/>
      <c r="F338" s="318"/>
      <c r="G338" s="407"/>
      <c r="H338" s="75"/>
      <c r="I338" s="412"/>
      <c r="J338" s="420"/>
      <c r="K338" s="75"/>
      <c r="L338" s="75"/>
      <c r="M338" s="75"/>
      <c r="N338" s="75"/>
      <c r="O338" s="102"/>
      <c r="P338" s="79"/>
      <c r="Q338" s="79">
        <v>12</v>
      </c>
      <c r="R338" s="79"/>
      <c r="S338" s="83" t="s">
        <v>714</v>
      </c>
      <c r="T338" s="104"/>
      <c r="U338" s="79"/>
      <c r="V338" s="105" t="s">
        <v>715</v>
      </c>
      <c r="W338" s="87" t="s">
        <v>437</v>
      </c>
      <c r="X338" s="87" t="s">
        <v>437</v>
      </c>
    </row>
    <row r="339" spans="1:24" ht="25.5" hidden="1">
      <c r="A339" s="98" t="s">
        <v>716</v>
      </c>
      <c r="B339" s="75"/>
      <c r="C339" s="75"/>
      <c r="D339" s="75"/>
      <c r="E339" s="75"/>
      <c r="F339" s="318"/>
      <c r="G339" s="407"/>
      <c r="H339" s="75"/>
      <c r="I339" s="412"/>
      <c r="J339" s="420"/>
      <c r="K339" s="75"/>
      <c r="L339" s="75"/>
      <c r="M339" s="75"/>
      <c r="N339" s="75"/>
      <c r="O339" s="102"/>
      <c r="P339" s="79">
        <v>7</v>
      </c>
      <c r="Q339" s="79">
        <v>7</v>
      </c>
      <c r="R339" s="79"/>
      <c r="S339" s="83" t="s">
        <v>717</v>
      </c>
      <c r="T339" s="104"/>
      <c r="U339" s="79"/>
      <c r="V339" s="105" t="s">
        <v>718</v>
      </c>
      <c r="W339" s="87" t="s">
        <v>106</v>
      </c>
      <c r="X339" s="87" t="s">
        <v>104</v>
      </c>
    </row>
    <row r="340" spans="1:24" ht="25.5" hidden="1">
      <c r="A340" s="98" t="s">
        <v>719</v>
      </c>
      <c r="B340" s="75"/>
      <c r="C340" s="75"/>
      <c r="D340" s="75"/>
      <c r="E340" s="75"/>
      <c r="F340" s="318"/>
      <c r="G340" s="407"/>
      <c r="H340" s="75"/>
      <c r="I340" s="412"/>
      <c r="J340" s="420"/>
      <c r="K340" s="75"/>
      <c r="L340" s="75"/>
      <c r="M340" s="75"/>
      <c r="N340" s="75"/>
      <c r="O340" s="102"/>
      <c r="P340" s="79">
        <v>7</v>
      </c>
      <c r="Q340" s="79">
        <v>9</v>
      </c>
      <c r="R340" s="79"/>
      <c r="S340" s="83" t="s">
        <v>720</v>
      </c>
      <c r="T340" s="104"/>
      <c r="U340" s="79"/>
      <c r="V340" s="105" t="s">
        <v>721</v>
      </c>
      <c r="W340" s="87" t="s">
        <v>106</v>
      </c>
      <c r="X340" s="87" t="s">
        <v>104</v>
      </c>
    </row>
    <row r="341" spans="1:24" ht="25.5" hidden="1">
      <c r="A341" s="98" t="s">
        <v>722</v>
      </c>
      <c r="B341" s="75"/>
      <c r="C341" s="75"/>
      <c r="D341" s="75"/>
      <c r="E341" s="75"/>
      <c r="F341" s="318"/>
      <c r="G341" s="407"/>
      <c r="H341" s="75"/>
      <c r="I341" s="412"/>
      <c r="J341" s="420"/>
      <c r="K341" s="75"/>
      <c r="L341" s="75"/>
      <c r="M341" s="75"/>
      <c r="N341" s="75"/>
      <c r="O341" s="102"/>
      <c r="P341" s="79">
        <v>10</v>
      </c>
      <c r="Q341" s="79">
        <v>9</v>
      </c>
      <c r="R341" s="79"/>
      <c r="S341" s="83" t="s">
        <v>723</v>
      </c>
      <c r="T341" s="104"/>
      <c r="U341" s="79"/>
      <c r="V341" s="105" t="s">
        <v>724</v>
      </c>
      <c r="W341" s="87" t="s">
        <v>106</v>
      </c>
      <c r="X341" s="87" t="s">
        <v>104</v>
      </c>
    </row>
    <row r="342" spans="1:24" ht="38.25" hidden="1">
      <c r="A342" s="98" t="s">
        <v>725</v>
      </c>
      <c r="B342" s="75"/>
      <c r="C342" s="75"/>
      <c r="D342" s="75"/>
      <c r="E342" s="75"/>
      <c r="F342" s="318"/>
      <c r="G342" s="407"/>
      <c r="H342" s="75"/>
      <c r="I342" s="412"/>
      <c r="J342" s="420"/>
      <c r="K342" s="75"/>
      <c r="L342" s="75"/>
      <c r="M342" s="75"/>
      <c r="N342" s="75"/>
      <c r="O342" s="102"/>
      <c r="P342" s="79">
        <v>17</v>
      </c>
      <c r="Q342" s="79">
        <v>13</v>
      </c>
      <c r="R342" s="79"/>
      <c r="S342" s="83" t="s">
        <v>726</v>
      </c>
      <c r="T342" s="104"/>
      <c r="U342" s="79"/>
      <c r="V342" s="105" t="s">
        <v>727</v>
      </c>
      <c r="W342" s="87" t="s">
        <v>106</v>
      </c>
      <c r="X342" s="87" t="s">
        <v>104</v>
      </c>
    </row>
    <row r="343" spans="1:24" hidden="1">
      <c r="A343" s="91" t="s">
        <v>728</v>
      </c>
      <c r="B343" s="75"/>
      <c r="C343" s="75"/>
      <c r="D343" s="75"/>
      <c r="E343" s="75"/>
      <c r="F343" s="318"/>
      <c r="G343" s="407"/>
      <c r="H343" s="75"/>
      <c r="I343" s="412"/>
      <c r="J343" s="420"/>
      <c r="K343" s="75"/>
      <c r="L343" s="75"/>
      <c r="M343" s="75"/>
      <c r="N343" s="75"/>
      <c r="O343" s="102"/>
      <c r="P343" s="79"/>
      <c r="Q343" s="79"/>
      <c r="R343" s="79">
        <v>44</v>
      </c>
      <c r="S343" s="80" t="s">
        <v>729</v>
      </c>
      <c r="T343" s="104" t="s">
        <v>100</v>
      </c>
      <c r="U343" s="79" t="s">
        <v>730</v>
      </c>
      <c r="V343" s="79" t="s">
        <v>731</v>
      </c>
      <c r="W343" s="87" t="s">
        <v>103</v>
      </c>
      <c r="X343" s="87" t="s">
        <v>104</v>
      </c>
    </row>
    <row r="344" spans="1:24" ht="25.5" hidden="1">
      <c r="A344" s="91" t="s">
        <v>732</v>
      </c>
      <c r="B344" s="75"/>
      <c r="C344" s="75"/>
      <c r="D344" s="75"/>
      <c r="E344" s="75"/>
      <c r="F344" s="318"/>
      <c r="G344" s="407"/>
      <c r="H344" s="75"/>
      <c r="I344" s="412"/>
      <c r="J344" s="420"/>
      <c r="K344" s="75"/>
      <c r="L344" s="75"/>
      <c r="M344" s="75"/>
      <c r="N344" s="75"/>
      <c r="O344" s="102"/>
      <c r="P344" s="79"/>
      <c r="Q344" s="79"/>
      <c r="R344" s="79">
        <v>43</v>
      </c>
      <c r="S344" s="80" t="s">
        <v>729</v>
      </c>
      <c r="T344" s="104" t="s">
        <v>100</v>
      </c>
      <c r="U344" s="79" t="s">
        <v>733</v>
      </c>
      <c r="V344" s="79" t="s">
        <v>731</v>
      </c>
      <c r="W344" s="87" t="s">
        <v>103</v>
      </c>
      <c r="X344" s="87" t="s">
        <v>104</v>
      </c>
    </row>
    <row r="345" spans="1:24" ht="25.5" hidden="1">
      <c r="A345" s="91" t="s">
        <v>734</v>
      </c>
      <c r="B345" s="75"/>
      <c r="C345" s="75"/>
      <c r="D345" s="75"/>
      <c r="E345" s="75"/>
      <c r="F345" s="318"/>
      <c r="G345" s="407"/>
      <c r="H345" s="75"/>
      <c r="I345" s="412"/>
      <c r="J345" s="420"/>
      <c r="K345" s="75"/>
      <c r="L345" s="75"/>
      <c r="M345" s="75"/>
      <c r="N345" s="75"/>
      <c r="O345" s="102"/>
      <c r="P345" s="79"/>
      <c r="Q345" s="79"/>
      <c r="R345" s="79">
        <v>37</v>
      </c>
      <c r="S345" s="80" t="s">
        <v>729</v>
      </c>
      <c r="T345" s="104" t="s">
        <v>100</v>
      </c>
      <c r="U345" s="79" t="s">
        <v>735</v>
      </c>
      <c r="V345" s="79" t="s">
        <v>731</v>
      </c>
      <c r="W345" s="87" t="s">
        <v>103</v>
      </c>
      <c r="X345" s="87" t="s">
        <v>104</v>
      </c>
    </row>
    <row r="346" spans="1:24" hidden="1">
      <c r="A346" s="91" t="s">
        <v>736</v>
      </c>
      <c r="B346" s="75"/>
      <c r="C346" s="75"/>
      <c r="D346" s="75"/>
      <c r="E346" s="75"/>
      <c r="F346" s="318"/>
      <c r="G346" s="407"/>
      <c r="H346" s="75"/>
      <c r="I346" s="412"/>
      <c r="J346" s="420"/>
      <c r="K346" s="75"/>
      <c r="L346" s="75"/>
      <c r="M346" s="75"/>
      <c r="N346" s="75"/>
      <c r="O346" s="102"/>
      <c r="P346" s="79"/>
      <c r="Q346" s="79"/>
      <c r="R346" s="79">
        <v>40</v>
      </c>
      <c r="S346" s="80" t="s">
        <v>729</v>
      </c>
      <c r="T346" s="104" t="s">
        <v>100</v>
      </c>
      <c r="U346" s="79" t="s">
        <v>737</v>
      </c>
      <c r="V346" s="79" t="s">
        <v>731</v>
      </c>
      <c r="W346" s="87" t="s">
        <v>103</v>
      </c>
      <c r="X346" s="87" t="s">
        <v>104</v>
      </c>
    </row>
    <row r="347" spans="1:24" ht="25.5" hidden="1">
      <c r="A347" s="91" t="s">
        <v>738</v>
      </c>
      <c r="B347" s="75"/>
      <c r="C347" s="75"/>
      <c r="D347" s="75"/>
      <c r="E347" s="75"/>
      <c r="F347" s="318"/>
      <c r="G347" s="407"/>
      <c r="H347" s="75"/>
      <c r="I347" s="412"/>
      <c r="J347" s="420"/>
      <c r="K347" s="75"/>
      <c r="L347" s="75"/>
      <c r="M347" s="75"/>
      <c r="N347" s="75"/>
      <c r="O347" s="102"/>
      <c r="P347" s="79"/>
      <c r="Q347" s="79"/>
      <c r="R347" s="79">
        <v>42</v>
      </c>
      <c r="S347" s="80" t="s">
        <v>729</v>
      </c>
      <c r="T347" s="104" t="s">
        <v>100</v>
      </c>
      <c r="U347" s="79" t="s">
        <v>739</v>
      </c>
      <c r="V347" s="79" t="s">
        <v>731</v>
      </c>
      <c r="W347" s="87" t="s">
        <v>103</v>
      </c>
      <c r="X347" s="87" t="s">
        <v>104</v>
      </c>
    </row>
    <row r="348" spans="1:24" hidden="1">
      <c r="A348" s="91" t="s">
        <v>740</v>
      </c>
      <c r="B348" s="75"/>
      <c r="C348" s="75"/>
      <c r="D348" s="75"/>
      <c r="E348" s="75"/>
      <c r="F348" s="318"/>
      <c r="G348" s="407"/>
      <c r="H348" s="75"/>
      <c r="I348" s="412"/>
      <c r="J348" s="420"/>
      <c r="K348" s="75"/>
      <c r="L348" s="75"/>
      <c r="M348" s="75"/>
      <c r="N348" s="75"/>
      <c r="O348" s="102"/>
      <c r="P348" s="79"/>
      <c r="Q348" s="79"/>
      <c r="R348" s="79">
        <v>42</v>
      </c>
      <c r="S348" s="80" t="s">
        <v>729</v>
      </c>
      <c r="T348" s="104" t="s">
        <v>100</v>
      </c>
      <c r="U348" s="79" t="s">
        <v>741</v>
      </c>
      <c r="V348" s="79" t="s">
        <v>731</v>
      </c>
      <c r="W348" s="87" t="s">
        <v>103</v>
      </c>
      <c r="X348" s="87" t="s">
        <v>104</v>
      </c>
    </row>
    <row r="349" spans="1:24" hidden="1">
      <c r="A349" s="91" t="s">
        <v>742</v>
      </c>
      <c r="B349" s="75"/>
      <c r="C349" s="75"/>
      <c r="D349" s="75"/>
      <c r="E349" s="75"/>
      <c r="F349" s="318"/>
      <c r="G349" s="407"/>
      <c r="H349" s="75"/>
      <c r="I349" s="412"/>
      <c r="J349" s="420"/>
      <c r="K349" s="75"/>
      <c r="L349" s="75"/>
      <c r="M349" s="75"/>
      <c r="N349" s="75"/>
      <c r="O349" s="102"/>
      <c r="P349" s="79"/>
      <c r="Q349" s="79"/>
      <c r="R349" s="79">
        <v>40</v>
      </c>
      <c r="S349" s="80" t="s">
        <v>729</v>
      </c>
      <c r="T349" s="104" t="s">
        <v>100</v>
      </c>
      <c r="U349" s="79" t="s">
        <v>743</v>
      </c>
      <c r="V349" s="79" t="s">
        <v>731</v>
      </c>
      <c r="W349" s="87" t="s">
        <v>103</v>
      </c>
      <c r="X349" s="87" t="s">
        <v>104</v>
      </c>
    </row>
    <row r="350" spans="1:24" hidden="1">
      <c r="A350" s="91" t="s">
        <v>742</v>
      </c>
      <c r="B350" s="75"/>
      <c r="C350" s="75"/>
      <c r="D350" s="75"/>
      <c r="E350" s="75"/>
      <c r="F350" s="318"/>
      <c r="G350" s="407"/>
      <c r="H350" s="75"/>
      <c r="I350" s="412"/>
      <c r="J350" s="420"/>
      <c r="K350" s="75"/>
      <c r="L350" s="75"/>
      <c r="M350" s="75"/>
      <c r="N350" s="75"/>
      <c r="O350" s="102"/>
      <c r="P350" s="79"/>
      <c r="Q350" s="79"/>
      <c r="R350" s="79">
        <v>40</v>
      </c>
      <c r="S350" s="80" t="s">
        <v>729</v>
      </c>
      <c r="T350" s="104" t="s">
        <v>100</v>
      </c>
      <c r="U350" s="79" t="s">
        <v>744</v>
      </c>
      <c r="V350" s="79" t="s">
        <v>731</v>
      </c>
      <c r="W350" s="87" t="s">
        <v>103</v>
      </c>
      <c r="X350" s="87" t="s">
        <v>104</v>
      </c>
    </row>
    <row r="351" spans="1:24" hidden="1">
      <c r="A351" s="91" t="s">
        <v>745</v>
      </c>
      <c r="B351" s="75"/>
      <c r="C351" s="75"/>
      <c r="D351" s="75"/>
      <c r="E351" s="75"/>
      <c r="F351" s="318"/>
      <c r="G351" s="407"/>
      <c r="H351" s="75"/>
      <c r="I351" s="412"/>
      <c r="J351" s="420"/>
      <c r="K351" s="75"/>
      <c r="L351" s="75"/>
      <c r="M351" s="75"/>
      <c r="N351" s="75"/>
      <c r="O351" s="102"/>
      <c r="P351" s="79"/>
      <c r="Q351" s="79"/>
      <c r="R351" s="79">
        <v>40</v>
      </c>
      <c r="S351" s="80" t="s">
        <v>729</v>
      </c>
      <c r="T351" s="104" t="s">
        <v>100</v>
      </c>
      <c r="U351" s="79" t="s">
        <v>746</v>
      </c>
      <c r="V351" s="79" t="s">
        <v>731</v>
      </c>
      <c r="W351" s="87" t="s">
        <v>106</v>
      </c>
      <c r="X351" s="87" t="s">
        <v>104</v>
      </c>
    </row>
    <row r="352" spans="1:24" ht="25.5" hidden="1">
      <c r="A352" s="91" t="s">
        <v>747</v>
      </c>
      <c r="B352" s="75"/>
      <c r="C352" s="75"/>
      <c r="D352" s="75"/>
      <c r="E352" s="75"/>
      <c r="F352" s="318"/>
      <c r="G352" s="407"/>
      <c r="H352" s="75"/>
      <c r="I352" s="412"/>
      <c r="J352" s="420"/>
      <c r="K352" s="75"/>
      <c r="L352" s="75"/>
      <c r="M352" s="75"/>
      <c r="N352" s="75"/>
      <c r="O352" s="102"/>
      <c r="P352" s="79"/>
      <c r="Q352" s="79"/>
      <c r="R352" s="79">
        <v>45</v>
      </c>
      <c r="S352" s="80" t="s">
        <v>729</v>
      </c>
      <c r="T352" s="104" t="s">
        <v>100</v>
      </c>
      <c r="U352" s="79" t="s">
        <v>748</v>
      </c>
      <c r="V352" s="79" t="s">
        <v>731</v>
      </c>
      <c r="W352" s="87" t="s">
        <v>106</v>
      </c>
      <c r="X352" s="87" t="s">
        <v>104</v>
      </c>
    </row>
    <row r="353" spans="1:24" ht="25.5" hidden="1">
      <c r="A353" s="91" t="s">
        <v>749</v>
      </c>
      <c r="B353" s="75"/>
      <c r="C353" s="75"/>
      <c r="D353" s="75"/>
      <c r="E353" s="75"/>
      <c r="F353" s="318"/>
      <c r="G353" s="407"/>
      <c r="H353" s="75"/>
      <c r="I353" s="412"/>
      <c r="J353" s="420"/>
      <c r="K353" s="75"/>
      <c r="L353" s="75"/>
      <c r="M353" s="75"/>
      <c r="N353" s="75"/>
      <c r="O353" s="102"/>
      <c r="P353" s="79"/>
      <c r="Q353" s="79"/>
      <c r="R353" s="79">
        <v>36</v>
      </c>
      <c r="S353" s="80" t="s">
        <v>750</v>
      </c>
      <c r="T353" s="104" t="s">
        <v>100</v>
      </c>
      <c r="U353" s="79" t="s">
        <v>751</v>
      </c>
      <c r="V353" s="79" t="s">
        <v>731</v>
      </c>
      <c r="W353" s="87" t="s">
        <v>106</v>
      </c>
      <c r="X353" s="87" t="s">
        <v>104</v>
      </c>
    </row>
    <row r="354" spans="1:24" hidden="1">
      <c r="A354" s="91" t="s">
        <v>749</v>
      </c>
      <c r="B354" s="75"/>
      <c r="C354" s="75"/>
      <c r="D354" s="75"/>
      <c r="E354" s="75"/>
      <c r="F354" s="318"/>
      <c r="G354" s="407"/>
      <c r="H354" s="75"/>
      <c r="I354" s="412"/>
      <c r="J354" s="420"/>
      <c r="K354" s="75"/>
      <c r="L354" s="75"/>
      <c r="M354" s="75"/>
      <c r="N354" s="75"/>
      <c r="O354" s="102"/>
      <c r="P354" s="79"/>
      <c r="Q354" s="79"/>
      <c r="R354" s="79">
        <v>42</v>
      </c>
      <c r="S354" s="80" t="s">
        <v>752</v>
      </c>
      <c r="T354" s="104" t="s">
        <v>100</v>
      </c>
      <c r="U354" s="79" t="s">
        <v>753</v>
      </c>
      <c r="V354" s="79" t="s">
        <v>731</v>
      </c>
      <c r="W354" s="87" t="s">
        <v>106</v>
      </c>
      <c r="X354" s="87" t="s">
        <v>104</v>
      </c>
    </row>
    <row r="355" spans="1:24" hidden="1">
      <c r="A355" s="91" t="s">
        <v>754</v>
      </c>
      <c r="B355" s="75"/>
      <c r="C355" s="75"/>
      <c r="D355" s="75"/>
      <c r="E355" s="75"/>
      <c r="F355" s="318"/>
      <c r="G355" s="407"/>
      <c r="H355" s="75"/>
      <c r="I355" s="412"/>
      <c r="J355" s="420"/>
      <c r="K355" s="75"/>
      <c r="L355" s="75"/>
      <c r="M355" s="75"/>
      <c r="N355" s="75"/>
      <c r="O355" s="102"/>
      <c r="P355" s="79"/>
      <c r="Q355" s="79"/>
      <c r="R355" s="79">
        <v>42</v>
      </c>
      <c r="S355" s="80" t="s">
        <v>752</v>
      </c>
      <c r="T355" s="104" t="s">
        <v>100</v>
      </c>
      <c r="U355" s="79" t="s">
        <v>755</v>
      </c>
      <c r="V355" s="79" t="s">
        <v>731</v>
      </c>
      <c r="W355" s="87" t="s">
        <v>106</v>
      </c>
      <c r="X355" s="87" t="s">
        <v>104</v>
      </c>
    </row>
    <row r="356" spans="1:24" hidden="1">
      <c r="A356" s="91" t="s">
        <v>754</v>
      </c>
      <c r="B356" s="75"/>
      <c r="C356" s="75"/>
      <c r="D356" s="75"/>
      <c r="E356" s="75"/>
      <c r="F356" s="318"/>
      <c r="G356" s="407"/>
      <c r="H356" s="75"/>
      <c r="I356" s="412"/>
      <c r="J356" s="420"/>
      <c r="K356" s="75"/>
      <c r="L356" s="75"/>
      <c r="M356" s="75"/>
      <c r="N356" s="75"/>
      <c r="O356" s="102"/>
      <c r="P356" s="79"/>
      <c r="Q356" s="79"/>
      <c r="R356" s="79">
        <v>44</v>
      </c>
      <c r="S356" s="80" t="s">
        <v>752</v>
      </c>
      <c r="T356" s="104" t="s">
        <v>100</v>
      </c>
      <c r="U356" s="79" t="s">
        <v>756</v>
      </c>
      <c r="V356" s="79" t="s">
        <v>731</v>
      </c>
      <c r="W356" s="87" t="s">
        <v>106</v>
      </c>
      <c r="X356" s="87" t="s">
        <v>104</v>
      </c>
    </row>
    <row r="357" spans="1:24" hidden="1">
      <c r="A357" s="91" t="s">
        <v>757</v>
      </c>
      <c r="B357" s="75"/>
      <c r="C357" s="75"/>
      <c r="D357" s="75"/>
      <c r="E357" s="75"/>
      <c r="F357" s="318"/>
      <c r="G357" s="407"/>
      <c r="H357" s="75"/>
      <c r="I357" s="412"/>
      <c r="J357" s="420"/>
      <c r="K357" s="75"/>
      <c r="L357" s="75"/>
      <c r="M357" s="75"/>
      <c r="N357" s="75"/>
      <c r="O357" s="102"/>
      <c r="P357" s="79"/>
      <c r="Q357" s="79"/>
      <c r="R357" s="79">
        <v>42</v>
      </c>
      <c r="S357" s="80" t="s">
        <v>752</v>
      </c>
      <c r="T357" s="104" t="s">
        <v>100</v>
      </c>
      <c r="U357" s="79" t="s">
        <v>758</v>
      </c>
      <c r="V357" s="79" t="s">
        <v>731</v>
      </c>
      <c r="W357" s="87" t="s">
        <v>106</v>
      </c>
      <c r="X357" s="87" t="s">
        <v>104</v>
      </c>
    </row>
    <row r="358" spans="1:24" hidden="1">
      <c r="A358" s="91" t="s">
        <v>757</v>
      </c>
      <c r="B358" s="75"/>
      <c r="C358" s="75"/>
      <c r="D358" s="75"/>
      <c r="E358" s="75"/>
      <c r="F358" s="318"/>
      <c r="G358" s="407"/>
      <c r="H358" s="75"/>
      <c r="I358" s="412"/>
      <c r="J358" s="420"/>
      <c r="K358" s="75"/>
      <c r="L358" s="75"/>
      <c r="M358" s="75"/>
      <c r="N358" s="75"/>
      <c r="O358" s="102"/>
      <c r="P358" s="79"/>
      <c r="Q358" s="79"/>
      <c r="R358" s="79">
        <v>43</v>
      </c>
      <c r="S358" s="80" t="s">
        <v>752</v>
      </c>
      <c r="T358" s="104" t="s">
        <v>100</v>
      </c>
      <c r="U358" s="79" t="s">
        <v>759</v>
      </c>
      <c r="V358" s="79" t="s">
        <v>731</v>
      </c>
      <c r="W358" s="87" t="s">
        <v>106</v>
      </c>
      <c r="X358" s="87" t="s">
        <v>104</v>
      </c>
    </row>
    <row r="359" spans="1:24" hidden="1">
      <c r="A359" s="91" t="s">
        <v>760</v>
      </c>
      <c r="B359" s="75"/>
      <c r="C359" s="75"/>
      <c r="D359" s="75"/>
      <c r="E359" s="75"/>
      <c r="F359" s="318"/>
      <c r="G359" s="407"/>
      <c r="H359" s="75"/>
      <c r="I359" s="412"/>
      <c r="J359" s="420"/>
      <c r="K359" s="75"/>
      <c r="L359" s="75"/>
      <c r="M359" s="75"/>
      <c r="N359" s="75"/>
      <c r="O359" s="102"/>
      <c r="P359" s="79"/>
      <c r="Q359" s="79"/>
      <c r="R359" s="79">
        <v>40</v>
      </c>
      <c r="S359" s="80" t="s">
        <v>752</v>
      </c>
      <c r="T359" s="104" t="s">
        <v>100</v>
      </c>
      <c r="U359" s="79" t="s">
        <v>761</v>
      </c>
      <c r="V359" s="79" t="s">
        <v>731</v>
      </c>
      <c r="W359" s="87" t="s">
        <v>106</v>
      </c>
      <c r="X359" s="87" t="s">
        <v>104</v>
      </c>
    </row>
    <row r="360" spans="1:24" hidden="1">
      <c r="A360" s="91" t="s">
        <v>760</v>
      </c>
      <c r="B360" s="75"/>
      <c r="C360" s="75"/>
      <c r="D360" s="75"/>
      <c r="E360" s="75"/>
      <c r="F360" s="318"/>
      <c r="G360" s="407"/>
      <c r="H360" s="75"/>
      <c r="I360" s="412"/>
      <c r="J360" s="420"/>
      <c r="K360" s="75"/>
      <c r="L360" s="75"/>
      <c r="M360" s="75"/>
      <c r="N360" s="75"/>
      <c r="O360" s="102"/>
      <c r="P360" s="79"/>
      <c r="Q360" s="79"/>
      <c r="R360" s="79">
        <v>42</v>
      </c>
      <c r="S360" s="80" t="s">
        <v>752</v>
      </c>
      <c r="T360" s="104" t="s">
        <v>100</v>
      </c>
      <c r="U360" s="79" t="s">
        <v>762</v>
      </c>
      <c r="V360" s="79" t="s">
        <v>731</v>
      </c>
      <c r="W360" s="87" t="s">
        <v>106</v>
      </c>
      <c r="X360" s="87" t="s">
        <v>104</v>
      </c>
    </row>
    <row r="361" spans="1:24" hidden="1">
      <c r="A361" s="91" t="s">
        <v>763</v>
      </c>
      <c r="B361" s="75"/>
      <c r="C361" s="75"/>
      <c r="D361" s="75"/>
      <c r="E361" s="75"/>
      <c r="F361" s="318"/>
      <c r="G361" s="407"/>
      <c r="H361" s="75"/>
      <c r="I361" s="412"/>
      <c r="J361" s="420"/>
      <c r="K361" s="75"/>
      <c r="L361" s="75"/>
      <c r="M361" s="75"/>
      <c r="N361" s="75"/>
      <c r="O361" s="102"/>
      <c r="P361" s="79"/>
      <c r="Q361" s="79"/>
      <c r="R361" s="79">
        <v>38</v>
      </c>
      <c r="S361" s="80" t="s">
        <v>752</v>
      </c>
      <c r="T361" s="104" t="s">
        <v>100</v>
      </c>
      <c r="U361" s="79" t="s">
        <v>764</v>
      </c>
      <c r="V361" s="79" t="s">
        <v>731</v>
      </c>
      <c r="W361" s="87" t="s">
        <v>106</v>
      </c>
      <c r="X361" s="87" t="s">
        <v>104</v>
      </c>
    </row>
    <row r="362" spans="1:24" hidden="1">
      <c r="A362" s="91" t="s">
        <v>763</v>
      </c>
      <c r="B362" s="75"/>
      <c r="C362" s="75"/>
      <c r="D362" s="75"/>
      <c r="E362" s="75"/>
      <c r="F362" s="318"/>
      <c r="G362" s="407"/>
      <c r="H362" s="75"/>
      <c r="I362" s="412"/>
      <c r="J362" s="420"/>
      <c r="K362" s="75"/>
      <c r="L362" s="75"/>
      <c r="M362" s="75"/>
      <c r="N362" s="75"/>
      <c r="O362" s="102"/>
      <c r="P362" s="79"/>
      <c r="Q362" s="79"/>
      <c r="R362" s="79">
        <v>42</v>
      </c>
      <c r="S362" s="80" t="s">
        <v>752</v>
      </c>
      <c r="T362" s="104" t="s">
        <v>100</v>
      </c>
      <c r="U362" s="79" t="s">
        <v>765</v>
      </c>
      <c r="V362" s="79" t="s">
        <v>731</v>
      </c>
      <c r="W362" s="87" t="s">
        <v>106</v>
      </c>
      <c r="X362" s="87" t="s">
        <v>104</v>
      </c>
    </row>
    <row r="363" spans="1:24" ht="25.5" hidden="1">
      <c r="A363" s="91" t="s">
        <v>766</v>
      </c>
      <c r="B363" s="75"/>
      <c r="C363" s="75"/>
      <c r="D363" s="75"/>
      <c r="E363" s="75"/>
      <c r="F363" s="318"/>
      <c r="G363" s="407"/>
      <c r="H363" s="75"/>
      <c r="I363" s="412"/>
      <c r="J363" s="420"/>
      <c r="K363" s="75"/>
      <c r="L363" s="75"/>
      <c r="M363" s="75"/>
      <c r="N363" s="75"/>
      <c r="O363" s="102"/>
      <c r="P363" s="79"/>
      <c r="Q363" s="79"/>
      <c r="R363" s="79">
        <v>42</v>
      </c>
      <c r="S363" s="80" t="s">
        <v>767</v>
      </c>
      <c r="T363" s="104" t="s">
        <v>100</v>
      </c>
      <c r="U363" s="79" t="s">
        <v>768</v>
      </c>
      <c r="V363" s="79" t="s">
        <v>731</v>
      </c>
      <c r="W363" s="87" t="s">
        <v>106</v>
      </c>
      <c r="X363" s="87" t="s">
        <v>104</v>
      </c>
    </row>
    <row r="364" spans="1:24" ht="25.5" hidden="1">
      <c r="A364" s="91" t="s">
        <v>769</v>
      </c>
      <c r="B364" s="75"/>
      <c r="C364" s="75"/>
      <c r="D364" s="75"/>
      <c r="E364" s="75"/>
      <c r="F364" s="318"/>
      <c r="G364" s="407"/>
      <c r="H364" s="75"/>
      <c r="I364" s="412"/>
      <c r="J364" s="420"/>
      <c r="K364" s="75"/>
      <c r="L364" s="75"/>
      <c r="M364" s="75"/>
      <c r="N364" s="75"/>
      <c r="O364" s="102"/>
      <c r="P364" s="79"/>
      <c r="Q364" s="79"/>
      <c r="R364" s="79">
        <v>34</v>
      </c>
      <c r="S364" s="80" t="s">
        <v>770</v>
      </c>
      <c r="T364" s="104" t="s">
        <v>100</v>
      </c>
      <c r="U364" s="79" t="s">
        <v>771</v>
      </c>
      <c r="V364" s="79" t="s">
        <v>731</v>
      </c>
      <c r="W364" s="87" t="s">
        <v>106</v>
      </c>
      <c r="X364" s="87" t="s">
        <v>104</v>
      </c>
    </row>
    <row r="365" spans="1:24" hidden="1">
      <c r="A365" s="91" t="s">
        <v>772</v>
      </c>
      <c r="B365" s="75"/>
      <c r="C365" s="75"/>
      <c r="D365" s="75"/>
      <c r="E365" s="75"/>
      <c r="F365" s="318"/>
      <c r="G365" s="407"/>
      <c r="H365" s="75"/>
      <c r="I365" s="412"/>
      <c r="J365" s="420"/>
      <c r="K365" s="75"/>
      <c r="L365" s="75"/>
      <c r="M365" s="75"/>
      <c r="N365" s="75"/>
      <c r="O365" s="102"/>
      <c r="P365" s="79"/>
      <c r="Q365" s="79"/>
      <c r="R365" s="79">
        <v>49</v>
      </c>
      <c r="S365" s="80" t="s">
        <v>770</v>
      </c>
      <c r="T365" s="104" t="s">
        <v>100</v>
      </c>
      <c r="U365" s="79" t="s">
        <v>773</v>
      </c>
      <c r="V365" s="79" t="s">
        <v>731</v>
      </c>
      <c r="W365" s="87" t="s">
        <v>106</v>
      </c>
      <c r="X365" s="87" t="s">
        <v>104</v>
      </c>
    </row>
    <row r="366" spans="1:24" ht="25.5" hidden="1">
      <c r="A366" s="91" t="s">
        <v>774</v>
      </c>
      <c r="B366" s="75"/>
      <c r="C366" s="75"/>
      <c r="D366" s="75"/>
      <c r="E366" s="75"/>
      <c r="F366" s="318"/>
      <c r="G366" s="407"/>
      <c r="H366" s="75"/>
      <c r="I366" s="412"/>
      <c r="J366" s="420"/>
      <c r="K366" s="75"/>
      <c r="L366" s="75"/>
      <c r="M366" s="75"/>
      <c r="N366" s="75"/>
      <c r="O366" s="102"/>
      <c r="P366" s="79"/>
      <c r="Q366" s="79"/>
      <c r="R366" s="79">
        <v>43</v>
      </c>
      <c r="S366" s="80" t="s">
        <v>775</v>
      </c>
      <c r="T366" s="104" t="s">
        <v>100</v>
      </c>
      <c r="U366" s="79" t="s">
        <v>776</v>
      </c>
      <c r="V366" s="79" t="s">
        <v>731</v>
      </c>
      <c r="W366" s="87" t="s">
        <v>106</v>
      </c>
      <c r="X366" s="87" t="s">
        <v>104</v>
      </c>
    </row>
    <row r="367" spans="1:24" hidden="1">
      <c r="A367" s="91" t="s">
        <v>777</v>
      </c>
      <c r="B367" s="75"/>
      <c r="C367" s="75"/>
      <c r="D367" s="75"/>
      <c r="E367" s="75"/>
      <c r="F367" s="318"/>
      <c r="G367" s="407"/>
      <c r="H367" s="75"/>
      <c r="I367" s="412"/>
      <c r="J367" s="420"/>
      <c r="K367" s="75"/>
      <c r="L367" s="75"/>
      <c r="M367" s="75"/>
      <c r="N367" s="75"/>
      <c r="O367" s="102"/>
      <c r="P367" s="79"/>
      <c r="Q367" s="79"/>
      <c r="R367" s="79">
        <v>36</v>
      </c>
      <c r="S367" s="80" t="s">
        <v>778</v>
      </c>
      <c r="T367" s="104" t="s">
        <v>100</v>
      </c>
      <c r="U367" s="79" t="s">
        <v>779</v>
      </c>
      <c r="V367" s="79" t="s">
        <v>731</v>
      </c>
      <c r="W367" s="87" t="s">
        <v>106</v>
      </c>
      <c r="X367" s="87" t="s">
        <v>104</v>
      </c>
    </row>
    <row r="368" spans="1:24" ht="25.5" hidden="1">
      <c r="A368" s="91" t="s">
        <v>780</v>
      </c>
      <c r="B368" s="75"/>
      <c r="C368" s="75"/>
      <c r="D368" s="75"/>
      <c r="E368" s="75"/>
      <c r="F368" s="318"/>
      <c r="G368" s="407"/>
      <c r="H368" s="75"/>
      <c r="I368" s="412"/>
      <c r="J368" s="420"/>
      <c r="K368" s="75"/>
      <c r="L368" s="75"/>
      <c r="M368" s="75"/>
      <c r="N368" s="75"/>
      <c r="O368" s="102"/>
      <c r="P368" s="79"/>
      <c r="Q368" s="79"/>
      <c r="R368" s="79">
        <v>38</v>
      </c>
      <c r="S368" s="80" t="s">
        <v>778</v>
      </c>
      <c r="T368" s="104" t="s">
        <v>100</v>
      </c>
      <c r="U368" s="79" t="s">
        <v>781</v>
      </c>
      <c r="V368" s="79" t="s">
        <v>731</v>
      </c>
      <c r="W368" s="87" t="s">
        <v>106</v>
      </c>
      <c r="X368" s="87" t="s">
        <v>104</v>
      </c>
    </row>
    <row r="369" spans="1:24" hidden="1">
      <c r="A369" s="91" t="s">
        <v>782</v>
      </c>
      <c r="B369" s="75"/>
      <c r="C369" s="75"/>
      <c r="D369" s="75"/>
      <c r="E369" s="75"/>
      <c r="F369" s="318"/>
      <c r="G369" s="407"/>
      <c r="H369" s="75"/>
      <c r="I369" s="412"/>
      <c r="J369" s="420"/>
      <c r="K369" s="75"/>
      <c r="L369" s="75"/>
      <c r="M369" s="75"/>
      <c r="N369" s="75"/>
      <c r="O369" s="102"/>
      <c r="P369" s="79"/>
      <c r="Q369" s="79"/>
      <c r="R369" s="79">
        <v>42</v>
      </c>
      <c r="S369" s="80" t="s">
        <v>778</v>
      </c>
      <c r="T369" s="104" t="s">
        <v>100</v>
      </c>
      <c r="U369" s="79" t="s">
        <v>783</v>
      </c>
      <c r="V369" s="79" t="s">
        <v>731</v>
      </c>
      <c r="W369" s="87" t="s">
        <v>106</v>
      </c>
      <c r="X369" s="87" t="s">
        <v>104</v>
      </c>
    </row>
    <row r="370" spans="1:24" ht="25.5" hidden="1">
      <c r="A370" s="91" t="s">
        <v>784</v>
      </c>
      <c r="B370" s="75"/>
      <c r="C370" s="75"/>
      <c r="D370" s="75"/>
      <c r="E370" s="75"/>
      <c r="F370" s="318"/>
      <c r="G370" s="407"/>
      <c r="H370" s="75"/>
      <c r="I370" s="412"/>
      <c r="J370" s="420"/>
      <c r="K370" s="75"/>
      <c r="L370" s="75"/>
      <c r="M370" s="75"/>
      <c r="N370" s="75"/>
      <c r="O370" s="102"/>
      <c r="P370" s="79"/>
      <c r="Q370" s="79"/>
      <c r="R370" s="79">
        <v>38</v>
      </c>
      <c r="S370" s="80" t="s">
        <v>778</v>
      </c>
      <c r="T370" s="104" t="s">
        <v>100</v>
      </c>
      <c r="U370" s="79" t="s">
        <v>785</v>
      </c>
      <c r="V370" s="79" t="s">
        <v>731</v>
      </c>
      <c r="W370" s="87" t="s">
        <v>106</v>
      </c>
      <c r="X370" s="87" t="s">
        <v>104</v>
      </c>
    </row>
    <row r="371" spans="1:24" hidden="1">
      <c r="A371" s="91" t="s">
        <v>786</v>
      </c>
      <c r="B371" s="75"/>
      <c r="C371" s="75"/>
      <c r="D371" s="75"/>
      <c r="E371" s="75"/>
      <c r="F371" s="318"/>
      <c r="G371" s="407"/>
      <c r="H371" s="75"/>
      <c r="I371" s="412"/>
      <c r="J371" s="420"/>
      <c r="K371" s="75"/>
      <c r="L371" s="75"/>
      <c r="M371" s="75"/>
      <c r="N371" s="75"/>
      <c r="O371" s="102"/>
      <c r="P371" s="79"/>
      <c r="Q371" s="79"/>
      <c r="R371" s="79">
        <v>32</v>
      </c>
      <c r="S371" s="80" t="s">
        <v>778</v>
      </c>
      <c r="T371" s="104" t="s">
        <v>100</v>
      </c>
      <c r="U371" s="79" t="s">
        <v>787</v>
      </c>
      <c r="V371" s="79" t="s">
        <v>731</v>
      </c>
      <c r="W371" s="87" t="s">
        <v>106</v>
      </c>
      <c r="X371" s="87" t="s">
        <v>104</v>
      </c>
    </row>
    <row r="372" spans="1:24" hidden="1">
      <c r="A372" s="91" t="s">
        <v>786</v>
      </c>
      <c r="B372" s="75"/>
      <c r="C372" s="75"/>
      <c r="D372" s="75"/>
      <c r="E372" s="75"/>
      <c r="F372" s="318"/>
      <c r="G372" s="407"/>
      <c r="H372" s="75"/>
      <c r="I372" s="412"/>
      <c r="J372" s="420"/>
      <c r="K372" s="75"/>
      <c r="L372" s="75"/>
      <c r="M372" s="75"/>
      <c r="N372" s="75"/>
      <c r="O372" s="102"/>
      <c r="P372" s="79"/>
      <c r="Q372" s="79"/>
      <c r="R372" s="79">
        <v>45</v>
      </c>
      <c r="S372" s="80" t="s">
        <v>778</v>
      </c>
      <c r="T372" s="104" t="s">
        <v>100</v>
      </c>
      <c r="U372" s="79" t="s">
        <v>788</v>
      </c>
      <c r="V372" s="79" t="s">
        <v>731</v>
      </c>
      <c r="W372" s="87" t="s">
        <v>106</v>
      </c>
      <c r="X372" s="87" t="s">
        <v>104</v>
      </c>
    </row>
    <row r="373" spans="1:24" hidden="1">
      <c r="A373" s="91" t="s">
        <v>789</v>
      </c>
      <c r="B373" s="75"/>
      <c r="C373" s="75"/>
      <c r="D373" s="75"/>
      <c r="E373" s="75"/>
      <c r="F373" s="318"/>
      <c r="G373" s="407"/>
      <c r="H373" s="75"/>
      <c r="I373" s="412"/>
      <c r="J373" s="420"/>
      <c r="K373" s="75"/>
      <c r="L373" s="75"/>
      <c r="M373" s="75"/>
      <c r="N373" s="75"/>
      <c r="O373" s="102"/>
      <c r="P373" s="79"/>
      <c r="Q373" s="79"/>
      <c r="R373" s="79">
        <v>37</v>
      </c>
      <c r="S373" s="80" t="s">
        <v>778</v>
      </c>
      <c r="T373" s="104" t="s">
        <v>100</v>
      </c>
      <c r="U373" s="79" t="s">
        <v>790</v>
      </c>
      <c r="V373" s="79" t="s">
        <v>731</v>
      </c>
      <c r="W373" s="87" t="s">
        <v>106</v>
      </c>
      <c r="X373" s="87" t="s">
        <v>104</v>
      </c>
    </row>
    <row r="374" spans="1:24" hidden="1">
      <c r="A374" s="91" t="s">
        <v>789</v>
      </c>
      <c r="B374" s="75"/>
      <c r="C374" s="75"/>
      <c r="D374" s="75"/>
      <c r="E374" s="75"/>
      <c r="F374" s="318"/>
      <c r="G374" s="407"/>
      <c r="H374" s="75"/>
      <c r="I374" s="412"/>
      <c r="J374" s="420"/>
      <c r="K374" s="75"/>
      <c r="L374" s="75"/>
      <c r="M374" s="75"/>
      <c r="N374" s="75"/>
      <c r="O374" s="102"/>
      <c r="P374" s="79"/>
      <c r="Q374" s="79"/>
      <c r="R374" s="79">
        <v>44</v>
      </c>
      <c r="S374" s="80" t="s">
        <v>778</v>
      </c>
      <c r="T374" s="104" t="s">
        <v>100</v>
      </c>
      <c r="U374" s="79" t="s">
        <v>791</v>
      </c>
      <c r="V374" s="79" t="s">
        <v>731</v>
      </c>
      <c r="W374" s="87" t="s">
        <v>106</v>
      </c>
      <c r="X374" s="87" t="s">
        <v>104</v>
      </c>
    </row>
    <row r="375" spans="1:24" ht="25.5" hidden="1">
      <c r="A375" s="91" t="s">
        <v>792</v>
      </c>
      <c r="B375" s="75"/>
      <c r="C375" s="75"/>
      <c r="D375" s="75"/>
      <c r="E375" s="75"/>
      <c r="F375" s="318"/>
      <c r="G375" s="407"/>
      <c r="H375" s="75"/>
      <c r="I375" s="412"/>
      <c r="J375" s="420"/>
      <c r="K375" s="75"/>
      <c r="L375" s="75"/>
      <c r="M375" s="75"/>
      <c r="N375" s="75"/>
      <c r="O375" s="102"/>
      <c r="P375" s="79"/>
      <c r="Q375" s="79"/>
      <c r="R375" s="79">
        <v>36</v>
      </c>
      <c r="S375" s="80" t="s">
        <v>778</v>
      </c>
      <c r="T375" s="104" t="s">
        <v>100</v>
      </c>
      <c r="U375" s="79" t="s">
        <v>793</v>
      </c>
      <c r="V375" s="79" t="s">
        <v>731</v>
      </c>
      <c r="W375" s="87" t="s">
        <v>106</v>
      </c>
      <c r="X375" s="87" t="s">
        <v>104</v>
      </c>
    </row>
    <row r="376" spans="1:24" hidden="1">
      <c r="A376" s="91" t="s">
        <v>794</v>
      </c>
      <c r="B376" s="75"/>
      <c r="C376" s="75"/>
      <c r="D376" s="75"/>
      <c r="E376" s="75"/>
      <c r="F376" s="318"/>
      <c r="G376" s="407"/>
      <c r="H376" s="75"/>
      <c r="I376" s="412"/>
      <c r="J376" s="420"/>
      <c r="K376" s="75"/>
      <c r="L376" s="75"/>
      <c r="M376" s="75"/>
      <c r="N376" s="75"/>
      <c r="O376" s="102"/>
      <c r="P376" s="79"/>
      <c r="Q376" s="79"/>
      <c r="R376" s="79">
        <v>42</v>
      </c>
      <c r="S376" s="80" t="s">
        <v>778</v>
      </c>
      <c r="T376" s="104" t="s">
        <v>100</v>
      </c>
      <c r="U376" s="79" t="s">
        <v>795</v>
      </c>
      <c r="V376" s="79" t="s">
        <v>731</v>
      </c>
      <c r="W376" s="87" t="s">
        <v>106</v>
      </c>
      <c r="X376" s="87" t="s">
        <v>104</v>
      </c>
    </row>
    <row r="377" spans="1:24" ht="25.5" hidden="1">
      <c r="A377" s="91" t="s">
        <v>796</v>
      </c>
      <c r="B377" s="75"/>
      <c r="C377" s="75"/>
      <c r="D377" s="75"/>
      <c r="E377" s="75"/>
      <c r="F377" s="318"/>
      <c r="G377" s="407"/>
      <c r="H377" s="75"/>
      <c r="I377" s="412"/>
      <c r="J377" s="420"/>
      <c r="K377" s="75"/>
      <c r="L377" s="75"/>
      <c r="M377" s="75"/>
      <c r="N377" s="75"/>
      <c r="O377" s="102"/>
      <c r="P377" s="79"/>
      <c r="Q377" s="79"/>
      <c r="R377" s="79">
        <v>38</v>
      </c>
      <c r="S377" s="80" t="s">
        <v>778</v>
      </c>
      <c r="T377" s="104" t="s">
        <v>100</v>
      </c>
      <c r="U377" s="79" t="s">
        <v>797</v>
      </c>
      <c r="V377" s="79" t="s">
        <v>731</v>
      </c>
      <c r="W377" s="87" t="s">
        <v>106</v>
      </c>
      <c r="X377" s="87" t="s">
        <v>104</v>
      </c>
    </row>
    <row r="378" spans="1:24" hidden="1">
      <c r="A378" s="91" t="s">
        <v>798</v>
      </c>
      <c r="B378" s="75"/>
      <c r="C378" s="75"/>
      <c r="D378" s="75"/>
      <c r="E378" s="75"/>
      <c r="F378" s="318"/>
      <c r="G378" s="407"/>
      <c r="H378" s="75"/>
      <c r="I378" s="412"/>
      <c r="J378" s="420"/>
      <c r="K378" s="75"/>
      <c r="L378" s="75"/>
      <c r="M378" s="75"/>
      <c r="N378" s="75"/>
      <c r="O378" s="102"/>
      <c r="P378" s="79"/>
      <c r="Q378" s="79"/>
      <c r="R378" s="79">
        <v>35</v>
      </c>
      <c r="S378" s="80" t="s">
        <v>778</v>
      </c>
      <c r="T378" s="104" t="s">
        <v>100</v>
      </c>
      <c r="U378" s="79" t="s">
        <v>799</v>
      </c>
      <c r="V378" s="79" t="s">
        <v>731</v>
      </c>
      <c r="W378" s="87" t="s">
        <v>106</v>
      </c>
      <c r="X378" s="87" t="s">
        <v>104</v>
      </c>
    </row>
    <row r="379" spans="1:24" hidden="1">
      <c r="A379" s="91" t="s">
        <v>798</v>
      </c>
      <c r="B379" s="75"/>
      <c r="C379" s="75"/>
      <c r="D379" s="75"/>
      <c r="E379" s="75"/>
      <c r="F379" s="318"/>
      <c r="G379" s="407"/>
      <c r="H379" s="75"/>
      <c r="I379" s="412"/>
      <c r="J379" s="420"/>
      <c r="K379" s="75"/>
      <c r="L379" s="75"/>
      <c r="M379" s="75"/>
      <c r="N379" s="75"/>
      <c r="O379" s="102"/>
      <c r="P379" s="79"/>
      <c r="Q379" s="79"/>
      <c r="R379" s="79">
        <v>40</v>
      </c>
      <c r="S379" s="80" t="s">
        <v>778</v>
      </c>
      <c r="T379" s="104" t="s">
        <v>100</v>
      </c>
      <c r="U379" s="79" t="s">
        <v>800</v>
      </c>
      <c r="V379" s="79" t="s">
        <v>731</v>
      </c>
      <c r="W379" s="87" t="s">
        <v>106</v>
      </c>
      <c r="X379" s="87" t="s">
        <v>104</v>
      </c>
    </row>
    <row r="380" spans="1:24" hidden="1">
      <c r="A380" s="91" t="s">
        <v>801</v>
      </c>
      <c r="B380" s="75"/>
      <c r="C380" s="75"/>
      <c r="D380" s="75"/>
      <c r="E380" s="75"/>
      <c r="F380" s="318"/>
      <c r="G380" s="407"/>
      <c r="H380" s="75"/>
      <c r="I380" s="412"/>
      <c r="J380" s="420"/>
      <c r="K380" s="75"/>
      <c r="L380" s="75"/>
      <c r="M380" s="75"/>
      <c r="N380" s="75"/>
      <c r="O380" s="102"/>
      <c r="P380" s="79"/>
      <c r="Q380" s="79"/>
      <c r="R380" s="79">
        <v>47</v>
      </c>
      <c r="S380" s="80" t="s">
        <v>778</v>
      </c>
      <c r="T380" s="104" t="s">
        <v>100</v>
      </c>
      <c r="U380" s="79" t="s">
        <v>802</v>
      </c>
      <c r="V380" s="79" t="s">
        <v>731</v>
      </c>
      <c r="W380" s="87" t="s">
        <v>106</v>
      </c>
      <c r="X380" s="87" t="s">
        <v>104</v>
      </c>
    </row>
    <row r="381" spans="1:24" hidden="1">
      <c r="A381" s="91" t="s">
        <v>801</v>
      </c>
      <c r="B381" s="75"/>
      <c r="C381" s="75"/>
      <c r="D381" s="75"/>
      <c r="E381" s="75"/>
      <c r="F381" s="318"/>
      <c r="G381" s="407"/>
      <c r="H381" s="75"/>
      <c r="I381" s="412"/>
      <c r="J381" s="420"/>
      <c r="K381" s="75"/>
      <c r="L381" s="75"/>
      <c r="M381" s="75"/>
      <c r="N381" s="75"/>
      <c r="O381" s="102"/>
      <c r="P381" s="79"/>
      <c r="Q381" s="79"/>
      <c r="R381" s="79">
        <v>39</v>
      </c>
      <c r="S381" s="80" t="s">
        <v>778</v>
      </c>
      <c r="T381" s="104" t="s">
        <v>100</v>
      </c>
      <c r="U381" s="79" t="s">
        <v>803</v>
      </c>
      <c r="V381" s="79" t="s">
        <v>731</v>
      </c>
      <c r="W381" s="87" t="s">
        <v>106</v>
      </c>
      <c r="X381" s="87" t="s">
        <v>104</v>
      </c>
    </row>
    <row r="382" spans="1:24" ht="25.5" hidden="1">
      <c r="A382" s="91" t="s">
        <v>804</v>
      </c>
      <c r="B382" s="75"/>
      <c r="C382" s="75"/>
      <c r="D382" s="75"/>
      <c r="E382" s="75"/>
      <c r="F382" s="318"/>
      <c r="G382" s="407"/>
      <c r="H382" s="75"/>
      <c r="I382" s="412"/>
      <c r="J382" s="420"/>
      <c r="K382" s="75"/>
      <c r="L382" s="75"/>
      <c r="M382" s="75"/>
      <c r="N382" s="75"/>
      <c r="O382" s="102"/>
      <c r="P382" s="79"/>
      <c r="Q382" s="79"/>
      <c r="R382" s="79">
        <v>43</v>
      </c>
      <c r="S382" s="80" t="s">
        <v>778</v>
      </c>
      <c r="T382" s="104" t="s">
        <v>100</v>
      </c>
      <c r="U382" s="79" t="s">
        <v>805</v>
      </c>
      <c r="V382" s="79" t="s">
        <v>731</v>
      </c>
      <c r="W382" s="87" t="s">
        <v>106</v>
      </c>
      <c r="X382" s="87" t="s">
        <v>104</v>
      </c>
    </row>
    <row r="383" spans="1:24" hidden="1">
      <c r="A383" s="91" t="s">
        <v>806</v>
      </c>
      <c r="B383" s="75"/>
      <c r="C383" s="75"/>
      <c r="D383" s="75"/>
      <c r="E383" s="75"/>
      <c r="F383" s="318"/>
      <c r="G383" s="407"/>
      <c r="H383" s="75"/>
      <c r="I383" s="412"/>
      <c r="J383" s="420"/>
      <c r="K383" s="75"/>
      <c r="L383" s="75"/>
      <c r="M383" s="75"/>
      <c r="N383" s="75"/>
      <c r="O383" s="102"/>
      <c r="P383" s="79"/>
      <c r="Q383" s="79"/>
      <c r="R383" s="79">
        <v>37</v>
      </c>
      <c r="S383" s="80" t="s">
        <v>778</v>
      </c>
      <c r="T383" s="104" t="s">
        <v>100</v>
      </c>
      <c r="U383" s="79" t="s">
        <v>807</v>
      </c>
      <c r="V383" s="79" t="s">
        <v>731</v>
      </c>
      <c r="W383" s="87" t="s">
        <v>106</v>
      </c>
      <c r="X383" s="87" t="s">
        <v>104</v>
      </c>
    </row>
    <row r="384" spans="1:24" ht="25.5" hidden="1">
      <c r="A384" s="91" t="s">
        <v>808</v>
      </c>
      <c r="B384" s="75"/>
      <c r="C384" s="75"/>
      <c r="D384" s="75"/>
      <c r="E384" s="75"/>
      <c r="F384" s="318"/>
      <c r="G384" s="407"/>
      <c r="H384" s="75"/>
      <c r="I384" s="412"/>
      <c r="J384" s="420"/>
      <c r="K384" s="75"/>
      <c r="L384" s="75"/>
      <c r="M384" s="75"/>
      <c r="N384" s="75"/>
      <c r="O384" s="102"/>
      <c r="P384" s="79"/>
      <c r="Q384" s="79"/>
      <c r="R384" s="79">
        <v>42</v>
      </c>
      <c r="S384" s="80" t="s">
        <v>778</v>
      </c>
      <c r="T384" s="104" t="s">
        <v>100</v>
      </c>
      <c r="U384" s="79" t="s">
        <v>809</v>
      </c>
      <c r="V384" s="79" t="s">
        <v>731</v>
      </c>
      <c r="W384" s="87" t="s">
        <v>106</v>
      </c>
      <c r="X384" s="87" t="s">
        <v>104</v>
      </c>
    </row>
    <row r="385" spans="1:24" hidden="1">
      <c r="A385" s="91" t="s">
        <v>810</v>
      </c>
      <c r="B385" s="75"/>
      <c r="C385" s="75"/>
      <c r="D385" s="75"/>
      <c r="E385" s="75"/>
      <c r="F385" s="318"/>
      <c r="G385" s="407"/>
      <c r="H385" s="75"/>
      <c r="I385" s="412"/>
      <c r="J385" s="420"/>
      <c r="K385" s="75"/>
      <c r="L385" s="75"/>
      <c r="M385" s="75"/>
      <c r="N385" s="75"/>
      <c r="O385" s="102"/>
      <c r="P385" s="79"/>
      <c r="Q385" s="79"/>
      <c r="R385" s="79">
        <v>45</v>
      </c>
      <c r="S385" s="80" t="s">
        <v>778</v>
      </c>
      <c r="T385" s="104" t="s">
        <v>100</v>
      </c>
      <c r="U385" s="79" t="s">
        <v>811</v>
      </c>
      <c r="V385" s="79" t="s">
        <v>731</v>
      </c>
      <c r="W385" s="87" t="s">
        <v>106</v>
      </c>
      <c r="X385" s="87" t="s">
        <v>104</v>
      </c>
    </row>
    <row r="386" spans="1:24" ht="25.5" hidden="1">
      <c r="A386" s="91" t="s">
        <v>812</v>
      </c>
      <c r="B386" s="75"/>
      <c r="C386" s="75"/>
      <c r="D386" s="75"/>
      <c r="E386" s="75"/>
      <c r="F386" s="318"/>
      <c r="G386" s="407"/>
      <c r="H386" s="75"/>
      <c r="I386" s="412"/>
      <c r="J386" s="420"/>
      <c r="K386" s="75"/>
      <c r="L386" s="75"/>
      <c r="M386" s="75"/>
      <c r="N386" s="75"/>
      <c r="O386" s="102"/>
      <c r="P386" s="79"/>
      <c r="Q386" s="79"/>
      <c r="R386" s="79">
        <v>51</v>
      </c>
      <c r="S386" s="80" t="s">
        <v>778</v>
      </c>
      <c r="T386" s="104" t="s">
        <v>100</v>
      </c>
      <c r="U386" s="79" t="s">
        <v>813</v>
      </c>
      <c r="V386" s="79" t="s">
        <v>731</v>
      </c>
      <c r="W386" s="87" t="s">
        <v>106</v>
      </c>
      <c r="X386" s="87" t="s">
        <v>104</v>
      </c>
    </row>
    <row r="387" spans="1:24" hidden="1">
      <c r="A387" s="91" t="s">
        <v>814</v>
      </c>
      <c r="B387" s="75"/>
      <c r="C387" s="75"/>
      <c r="D387" s="75"/>
      <c r="E387" s="75"/>
      <c r="F387" s="318"/>
      <c r="G387" s="407"/>
      <c r="H387" s="75"/>
      <c r="I387" s="412"/>
      <c r="J387" s="420"/>
      <c r="K387" s="75"/>
      <c r="L387" s="75"/>
      <c r="M387" s="75"/>
      <c r="N387" s="75"/>
      <c r="O387" s="102"/>
      <c r="P387" s="79"/>
      <c r="Q387" s="79"/>
      <c r="R387" s="79">
        <v>42</v>
      </c>
      <c r="S387" s="80" t="s">
        <v>778</v>
      </c>
      <c r="T387" s="104" t="s">
        <v>100</v>
      </c>
      <c r="U387" s="79" t="s">
        <v>815</v>
      </c>
      <c r="V387" s="79" t="s">
        <v>731</v>
      </c>
      <c r="W387" s="87" t="s">
        <v>106</v>
      </c>
      <c r="X387" s="87" t="s">
        <v>104</v>
      </c>
    </row>
    <row r="388" spans="1:24" ht="25.5" hidden="1">
      <c r="A388" s="91" t="s">
        <v>816</v>
      </c>
      <c r="B388" s="75"/>
      <c r="C388" s="75"/>
      <c r="D388" s="75"/>
      <c r="E388" s="75"/>
      <c r="F388" s="318"/>
      <c r="G388" s="407"/>
      <c r="H388" s="75"/>
      <c r="I388" s="412"/>
      <c r="J388" s="420"/>
      <c r="K388" s="75"/>
      <c r="L388" s="75"/>
      <c r="M388" s="75"/>
      <c r="N388" s="75"/>
      <c r="O388" s="102"/>
      <c r="P388" s="79"/>
      <c r="Q388" s="79"/>
      <c r="R388" s="79">
        <v>40</v>
      </c>
      <c r="S388" s="80" t="s">
        <v>817</v>
      </c>
      <c r="T388" s="104" t="s">
        <v>100</v>
      </c>
      <c r="U388" s="79" t="s">
        <v>818</v>
      </c>
      <c r="V388" s="79" t="s">
        <v>731</v>
      </c>
      <c r="W388" s="87" t="s">
        <v>106</v>
      </c>
      <c r="X388" s="87" t="s">
        <v>104</v>
      </c>
    </row>
    <row r="389" spans="1:24" ht="25.5" hidden="1">
      <c r="A389" s="91" t="s">
        <v>819</v>
      </c>
      <c r="B389" s="75"/>
      <c r="C389" s="75"/>
      <c r="D389" s="75"/>
      <c r="E389" s="75"/>
      <c r="F389" s="318"/>
      <c r="G389" s="407"/>
      <c r="H389" s="75"/>
      <c r="I389" s="412"/>
      <c r="J389" s="420"/>
      <c r="K389" s="75"/>
      <c r="L389" s="75"/>
      <c r="M389" s="75"/>
      <c r="N389" s="75"/>
      <c r="O389" s="102"/>
      <c r="P389" s="79"/>
      <c r="Q389" s="79"/>
      <c r="R389" s="79">
        <v>34</v>
      </c>
      <c r="S389" s="80" t="s">
        <v>820</v>
      </c>
      <c r="T389" s="104" t="s">
        <v>100</v>
      </c>
      <c r="U389" s="79" t="s">
        <v>821</v>
      </c>
      <c r="V389" s="79" t="s">
        <v>731</v>
      </c>
      <c r="W389" s="87" t="s">
        <v>106</v>
      </c>
      <c r="X389" s="87" t="s">
        <v>104</v>
      </c>
    </row>
    <row r="390" spans="1:24" hidden="1">
      <c r="A390" s="91" t="s">
        <v>822</v>
      </c>
      <c r="B390" s="75"/>
      <c r="C390" s="75"/>
      <c r="D390" s="75"/>
      <c r="E390" s="75"/>
      <c r="F390" s="318"/>
      <c r="G390" s="407"/>
      <c r="H390" s="75"/>
      <c r="I390" s="412"/>
      <c r="J390" s="420"/>
      <c r="K390" s="75"/>
      <c r="L390" s="75"/>
      <c r="M390" s="75"/>
      <c r="N390" s="75"/>
      <c r="O390" s="102"/>
      <c r="P390" s="79"/>
      <c r="Q390" s="79"/>
      <c r="R390" s="79">
        <v>42</v>
      </c>
      <c r="S390" s="80" t="s">
        <v>820</v>
      </c>
      <c r="T390" s="104" t="s">
        <v>100</v>
      </c>
      <c r="U390" s="79" t="s">
        <v>823</v>
      </c>
      <c r="V390" s="79" t="s">
        <v>731</v>
      </c>
      <c r="W390" s="87" t="s">
        <v>106</v>
      </c>
      <c r="X390" s="87" t="s">
        <v>104</v>
      </c>
    </row>
    <row r="391" spans="1:24" ht="25.5" hidden="1">
      <c r="A391" s="91" t="s">
        <v>824</v>
      </c>
      <c r="B391" s="75"/>
      <c r="C391" s="75"/>
      <c r="D391" s="75"/>
      <c r="E391" s="75"/>
      <c r="F391" s="318"/>
      <c r="G391" s="407"/>
      <c r="H391" s="75"/>
      <c r="I391" s="412"/>
      <c r="J391" s="420"/>
      <c r="K391" s="75"/>
      <c r="L391" s="75"/>
      <c r="M391" s="75"/>
      <c r="N391" s="75"/>
      <c r="O391" s="102"/>
      <c r="P391" s="79"/>
      <c r="Q391" s="79"/>
      <c r="R391" s="79">
        <v>40</v>
      </c>
      <c r="S391" s="80" t="s">
        <v>820</v>
      </c>
      <c r="T391" s="104" t="s">
        <v>100</v>
      </c>
      <c r="U391" s="79" t="s">
        <v>825</v>
      </c>
      <c r="V391" s="79" t="s">
        <v>731</v>
      </c>
      <c r="W391" s="87" t="s">
        <v>106</v>
      </c>
      <c r="X391" s="87" t="s">
        <v>104</v>
      </c>
    </row>
    <row r="392" spans="1:24" hidden="1">
      <c r="A392" s="91" t="s">
        <v>826</v>
      </c>
      <c r="B392" s="75"/>
      <c r="C392" s="75"/>
      <c r="D392" s="75"/>
      <c r="E392" s="75"/>
      <c r="F392" s="318"/>
      <c r="G392" s="407"/>
      <c r="H392" s="75"/>
      <c r="I392" s="412"/>
      <c r="J392" s="420"/>
      <c r="K392" s="75"/>
      <c r="L392" s="75"/>
      <c r="M392" s="75"/>
      <c r="N392" s="75"/>
      <c r="O392" s="102"/>
      <c r="P392" s="79"/>
      <c r="Q392" s="79"/>
      <c r="R392" s="79">
        <v>36</v>
      </c>
      <c r="S392" s="80" t="s">
        <v>820</v>
      </c>
      <c r="T392" s="104" t="s">
        <v>100</v>
      </c>
      <c r="U392" s="79" t="s">
        <v>827</v>
      </c>
      <c r="V392" s="79" t="s">
        <v>731</v>
      </c>
      <c r="W392" s="87" t="s">
        <v>106</v>
      </c>
      <c r="X392" s="87" t="s">
        <v>104</v>
      </c>
    </row>
    <row r="393" spans="1:24" ht="25.5" hidden="1">
      <c r="A393" s="91" t="s">
        <v>828</v>
      </c>
      <c r="B393" s="75"/>
      <c r="C393" s="75"/>
      <c r="D393" s="75"/>
      <c r="E393" s="75"/>
      <c r="F393" s="318"/>
      <c r="G393" s="407"/>
      <c r="H393" s="75"/>
      <c r="I393" s="412"/>
      <c r="J393" s="420"/>
      <c r="K393" s="75"/>
      <c r="L393" s="75"/>
      <c r="M393" s="75"/>
      <c r="N393" s="75"/>
      <c r="O393" s="102"/>
      <c r="P393" s="79"/>
      <c r="Q393" s="79"/>
      <c r="R393" s="79">
        <v>42</v>
      </c>
      <c r="S393" s="80" t="s">
        <v>820</v>
      </c>
      <c r="T393" s="104" t="s">
        <v>100</v>
      </c>
      <c r="U393" s="79" t="s">
        <v>829</v>
      </c>
      <c r="V393" s="79" t="s">
        <v>731</v>
      </c>
      <c r="W393" s="87" t="s">
        <v>106</v>
      </c>
      <c r="X393" s="87" t="s">
        <v>104</v>
      </c>
    </row>
    <row r="394" spans="1:24" hidden="1">
      <c r="A394" s="91" t="s">
        <v>830</v>
      </c>
      <c r="B394" s="75"/>
      <c r="C394" s="75"/>
      <c r="D394" s="75"/>
      <c r="E394" s="75"/>
      <c r="F394" s="318"/>
      <c r="G394" s="407"/>
      <c r="H394" s="75"/>
      <c r="I394" s="412"/>
      <c r="J394" s="420"/>
      <c r="K394" s="75"/>
      <c r="L394" s="75"/>
      <c r="M394" s="75"/>
      <c r="N394" s="75"/>
      <c r="O394" s="102"/>
      <c r="P394" s="79"/>
      <c r="Q394" s="79"/>
      <c r="R394" s="79">
        <v>42</v>
      </c>
      <c r="S394" s="80" t="s">
        <v>820</v>
      </c>
      <c r="T394" s="104" t="s">
        <v>100</v>
      </c>
      <c r="U394" s="79" t="s">
        <v>831</v>
      </c>
      <c r="V394" s="79" t="s">
        <v>731</v>
      </c>
      <c r="W394" s="87" t="s">
        <v>106</v>
      </c>
      <c r="X394" s="87" t="s">
        <v>104</v>
      </c>
    </row>
    <row r="395" spans="1:24" ht="25.5" hidden="1">
      <c r="A395" s="91" t="s">
        <v>832</v>
      </c>
      <c r="B395" s="75"/>
      <c r="C395" s="75"/>
      <c r="D395" s="75"/>
      <c r="E395" s="75"/>
      <c r="F395" s="318"/>
      <c r="G395" s="407"/>
      <c r="H395" s="75"/>
      <c r="I395" s="412"/>
      <c r="J395" s="420"/>
      <c r="K395" s="75"/>
      <c r="L395" s="75"/>
      <c r="M395" s="75"/>
      <c r="N395" s="75"/>
      <c r="O395" s="102"/>
      <c r="P395" s="79"/>
      <c r="Q395" s="79"/>
      <c r="R395" s="79">
        <v>42</v>
      </c>
      <c r="S395" s="80" t="s">
        <v>820</v>
      </c>
      <c r="T395" s="104" t="s">
        <v>100</v>
      </c>
      <c r="U395" s="79" t="s">
        <v>833</v>
      </c>
      <c r="V395" s="79" t="s">
        <v>731</v>
      </c>
      <c r="W395" s="87" t="s">
        <v>106</v>
      </c>
      <c r="X395" s="87" t="s">
        <v>104</v>
      </c>
    </row>
    <row r="396" spans="1:24" hidden="1">
      <c r="A396" s="91" t="s">
        <v>834</v>
      </c>
      <c r="B396" s="75"/>
      <c r="C396" s="75"/>
      <c r="D396" s="75"/>
      <c r="E396" s="75"/>
      <c r="F396" s="318"/>
      <c r="G396" s="407"/>
      <c r="H396" s="75"/>
      <c r="I396" s="412"/>
      <c r="J396" s="420"/>
      <c r="K396" s="75"/>
      <c r="L396" s="75"/>
      <c r="M396" s="75"/>
      <c r="N396" s="75"/>
      <c r="O396" s="102"/>
      <c r="P396" s="79"/>
      <c r="Q396" s="79"/>
      <c r="R396" s="79">
        <v>36</v>
      </c>
      <c r="S396" s="80" t="s">
        <v>820</v>
      </c>
      <c r="T396" s="104" t="s">
        <v>100</v>
      </c>
      <c r="U396" s="79" t="s">
        <v>835</v>
      </c>
      <c r="V396" s="79" t="s">
        <v>731</v>
      </c>
      <c r="W396" s="87" t="s">
        <v>106</v>
      </c>
      <c r="X396" s="87" t="s">
        <v>104</v>
      </c>
    </row>
    <row r="397" spans="1:24" ht="25.5" hidden="1">
      <c r="A397" s="91" t="s">
        <v>836</v>
      </c>
      <c r="B397" s="75"/>
      <c r="C397" s="75"/>
      <c r="D397" s="75"/>
      <c r="E397" s="75"/>
      <c r="F397" s="318"/>
      <c r="G397" s="407"/>
      <c r="H397" s="75"/>
      <c r="I397" s="412"/>
      <c r="J397" s="420"/>
      <c r="K397" s="75"/>
      <c r="L397" s="75"/>
      <c r="M397" s="75"/>
      <c r="N397" s="75"/>
      <c r="O397" s="102"/>
      <c r="P397" s="79"/>
      <c r="Q397" s="79"/>
      <c r="R397" s="79">
        <v>40</v>
      </c>
      <c r="S397" s="80" t="s">
        <v>820</v>
      </c>
      <c r="T397" s="104" t="s">
        <v>100</v>
      </c>
      <c r="U397" s="79" t="s">
        <v>837</v>
      </c>
      <c r="V397" s="79" t="s">
        <v>731</v>
      </c>
      <c r="W397" s="87" t="s">
        <v>106</v>
      </c>
      <c r="X397" s="87" t="s">
        <v>104</v>
      </c>
    </row>
    <row r="398" spans="1:24" hidden="1">
      <c r="A398" s="91" t="s">
        <v>838</v>
      </c>
      <c r="B398" s="75"/>
      <c r="C398" s="75"/>
      <c r="D398" s="75"/>
      <c r="E398" s="75"/>
      <c r="F398" s="318"/>
      <c r="G398" s="407"/>
      <c r="H398" s="75"/>
      <c r="I398" s="412"/>
      <c r="J398" s="420"/>
      <c r="K398" s="75"/>
      <c r="L398" s="75"/>
      <c r="M398" s="75"/>
      <c r="N398" s="75"/>
      <c r="O398" s="102"/>
      <c r="P398" s="79"/>
      <c r="Q398" s="79"/>
      <c r="R398" s="79">
        <v>42</v>
      </c>
      <c r="S398" s="80" t="s">
        <v>839</v>
      </c>
      <c r="T398" s="104" t="s">
        <v>100</v>
      </c>
      <c r="U398" s="79" t="s">
        <v>840</v>
      </c>
      <c r="V398" s="79" t="s">
        <v>731</v>
      </c>
      <c r="W398" s="87" t="s">
        <v>106</v>
      </c>
      <c r="X398" s="87" t="s">
        <v>104</v>
      </c>
    </row>
    <row r="399" spans="1:24" ht="25.5" hidden="1">
      <c r="A399" s="91" t="s">
        <v>841</v>
      </c>
      <c r="B399" s="75"/>
      <c r="C399" s="75"/>
      <c r="D399" s="75"/>
      <c r="E399" s="75"/>
      <c r="F399" s="318"/>
      <c r="G399" s="407"/>
      <c r="H399" s="75"/>
      <c r="I399" s="412"/>
      <c r="J399" s="420"/>
      <c r="K399" s="75"/>
      <c r="L399" s="75"/>
      <c r="M399" s="75"/>
      <c r="N399" s="75"/>
      <c r="O399" s="102"/>
      <c r="P399" s="79"/>
      <c r="Q399" s="79"/>
      <c r="R399" s="79">
        <v>36</v>
      </c>
      <c r="S399" s="80" t="s">
        <v>839</v>
      </c>
      <c r="T399" s="104" t="s">
        <v>100</v>
      </c>
      <c r="U399" s="79" t="s">
        <v>842</v>
      </c>
      <c r="V399" s="79" t="s">
        <v>731</v>
      </c>
      <c r="W399" s="87" t="s">
        <v>106</v>
      </c>
      <c r="X399" s="87" t="s">
        <v>104</v>
      </c>
    </row>
    <row r="400" spans="1:24" hidden="1">
      <c r="A400" s="91" t="s">
        <v>843</v>
      </c>
      <c r="B400" s="75"/>
      <c r="C400" s="75"/>
      <c r="D400" s="75"/>
      <c r="E400" s="75"/>
      <c r="F400" s="318"/>
      <c r="G400" s="407"/>
      <c r="H400" s="75"/>
      <c r="I400" s="412"/>
      <c r="J400" s="420"/>
      <c r="K400" s="75"/>
      <c r="L400" s="75"/>
      <c r="M400" s="75"/>
      <c r="N400" s="75"/>
      <c r="O400" s="102"/>
      <c r="P400" s="79"/>
      <c r="Q400" s="79"/>
      <c r="R400" s="79">
        <v>42</v>
      </c>
      <c r="S400" s="80" t="s">
        <v>839</v>
      </c>
      <c r="T400" s="104" t="s">
        <v>100</v>
      </c>
      <c r="U400" s="79" t="s">
        <v>844</v>
      </c>
      <c r="V400" s="79" t="s">
        <v>731</v>
      </c>
      <c r="W400" s="87" t="s">
        <v>106</v>
      </c>
      <c r="X400" s="87" t="s">
        <v>104</v>
      </c>
    </row>
    <row r="401" spans="1:24" ht="25.5" hidden="1">
      <c r="A401" s="91" t="s">
        <v>845</v>
      </c>
      <c r="B401" s="75"/>
      <c r="C401" s="75"/>
      <c r="D401" s="75"/>
      <c r="E401" s="75"/>
      <c r="F401" s="318"/>
      <c r="G401" s="407"/>
      <c r="H401" s="75"/>
      <c r="I401" s="412"/>
      <c r="J401" s="420"/>
      <c r="K401" s="75"/>
      <c r="L401" s="75"/>
      <c r="M401" s="75"/>
      <c r="N401" s="75"/>
      <c r="O401" s="102"/>
      <c r="P401" s="79"/>
      <c r="Q401" s="79"/>
      <c r="R401" s="79">
        <v>40</v>
      </c>
      <c r="S401" s="80" t="s">
        <v>839</v>
      </c>
      <c r="T401" s="104" t="s">
        <v>100</v>
      </c>
      <c r="U401" s="79" t="s">
        <v>846</v>
      </c>
      <c r="V401" s="79" t="s">
        <v>731</v>
      </c>
      <c r="W401" s="87" t="s">
        <v>106</v>
      </c>
      <c r="X401" s="87" t="s">
        <v>104</v>
      </c>
    </row>
    <row r="402" spans="1:24" hidden="1">
      <c r="A402" s="91" t="s">
        <v>847</v>
      </c>
      <c r="B402" s="75"/>
      <c r="C402" s="75"/>
      <c r="D402" s="75"/>
      <c r="E402" s="75"/>
      <c r="F402" s="318"/>
      <c r="G402" s="407"/>
      <c r="H402" s="75"/>
      <c r="I402" s="412"/>
      <c r="J402" s="420"/>
      <c r="K402" s="75"/>
      <c r="L402" s="75"/>
      <c r="M402" s="75"/>
      <c r="N402" s="75"/>
      <c r="O402" s="102"/>
      <c r="P402" s="79"/>
      <c r="Q402" s="79"/>
      <c r="R402" s="79">
        <v>36</v>
      </c>
      <c r="S402" s="80" t="s">
        <v>839</v>
      </c>
      <c r="T402" s="104" t="s">
        <v>100</v>
      </c>
      <c r="U402" s="79" t="s">
        <v>848</v>
      </c>
      <c r="V402" s="79" t="s">
        <v>731</v>
      </c>
      <c r="W402" s="87" t="s">
        <v>106</v>
      </c>
      <c r="X402" s="87" t="s">
        <v>104</v>
      </c>
    </row>
    <row r="403" spans="1:24" hidden="1">
      <c r="A403" s="91" t="s">
        <v>847</v>
      </c>
      <c r="B403" s="75"/>
      <c r="C403" s="75"/>
      <c r="D403" s="75"/>
      <c r="E403" s="75"/>
      <c r="F403" s="318"/>
      <c r="G403" s="407"/>
      <c r="H403" s="75"/>
      <c r="I403" s="412"/>
      <c r="J403" s="420"/>
      <c r="K403" s="75"/>
      <c r="L403" s="75"/>
      <c r="M403" s="75"/>
      <c r="N403" s="75"/>
      <c r="O403" s="102"/>
      <c r="P403" s="79"/>
      <c r="Q403" s="79"/>
      <c r="R403" s="79">
        <v>36</v>
      </c>
      <c r="S403" s="80" t="s">
        <v>839</v>
      </c>
      <c r="T403" s="104" t="s">
        <v>100</v>
      </c>
      <c r="U403" s="79" t="s">
        <v>849</v>
      </c>
      <c r="V403" s="79" t="s">
        <v>731</v>
      </c>
      <c r="W403" s="87" t="s">
        <v>106</v>
      </c>
      <c r="X403" s="87" t="s">
        <v>104</v>
      </c>
    </row>
    <row r="404" spans="1:24" ht="25.5" hidden="1">
      <c r="A404" s="91" t="s">
        <v>850</v>
      </c>
      <c r="B404" s="75"/>
      <c r="C404" s="75"/>
      <c r="D404" s="75"/>
      <c r="E404" s="75"/>
      <c r="F404" s="318"/>
      <c r="G404" s="407"/>
      <c r="H404" s="75"/>
      <c r="I404" s="412"/>
      <c r="J404" s="420"/>
      <c r="K404" s="75"/>
      <c r="L404" s="75"/>
      <c r="M404" s="75"/>
      <c r="N404" s="75"/>
      <c r="O404" s="102"/>
      <c r="P404" s="79"/>
      <c r="Q404" s="79"/>
      <c r="R404" s="79">
        <v>36</v>
      </c>
      <c r="S404" s="80" t="s">
        <v>839</v>
      </c>
      <c r="T404" s="104" t="s">
        <v>100</v>
      </c>
      <c r="U404" s="79" t="s">
        <v>851</v>
      </c>
      <c r="V404" s="79" t="s">
        <v>731</v>
      </c>
      <c r="W404" s="87" t="s">
        <v>106</v>
      </c>
      <c r="X404" s="87" t="s">
        <v>104</v>
      </c>
    </row>
    <row r="405" spans="1:24" hidden="1">
      <c r="A405" s="91" t="s">
        <v>852</v>
      </c>
      <c r="B405" s="75"/>
      <c r="C405" s="75"/>
      <c r="D405" s="75"/>
      <c r="E405" s="75"/>
      <c r="F405" s="318"/>
      <c r="G405" s="407"/>
      <c r="H405" s="75"/>
      <c r="I405" s="412"/>
      <c r="J405" s="420"/>
      <c r="K405" s="75"/>
      <c r="L405" s="75"/>
      <c r="M405" s="75"/>
      <c r="N405" s="75"/>
      <c r="O405" s="102"/>
      <c r="P405" s="79"/>
      <c r="Q405" s="79"/>
      <c r="R405" s="79">
        <v>40</v>
      </c>
      <c r="S405" s="80" t="s">
        <v>839</v>
      </c>
      <c r="T405" s="104" t="s">
        <v>100</v>
      </c>
      <c r="U405" s="79" t="s">
        <v>853</v>
      </c>
      <c r="V405" s="79" t="s">
        <v>731</v>
      </c>
      <c r="W405" s="87" t="s">
        <v>106</v>
      </c>
      <c r="X405" s="87" t="s">
        <v>104</v>
      </c>
    </row>
    <row r="406" spans="1:24" ht="25.5" hidden="1">
      <c r="A406" s="91" t="s">
        <v>854</v>
      </c>
      <c r="B406" s="75"/>
      <c r="C406" s="75"/>
      <c r="D406" s="75"/>
      <c r="E406" s="75"/>
      <c r="F406" s="318"/>
      <c r="G406" s="407"/>
      <c r="H406" s="75"/>
      <c r="I406" s="412"/>
      <c r="J406" s="420"/>
      <c r="K406" s="75"/>
      <c r="L406" s="75"/>
      <c r="M406" s="75"/>
      <c r="N406" s="75"/>
      <c r="O406" s="102"/>
      <c r="P406" s="79"/>
      <c r="Q406" s="79"/>
      <c r="R406" s="79">
        <v>40</v>
      </c>
      <c r="S406" s="80" t="s">
        <v>839</v>
      </c>
      <c r="T406" s="104" t="s">
        <v>100</v>
      </c>
      <c r="U406" s="79" t="s">
        <v>855</v>
      </c>
      <c r="V406" s="79" t="s">
        <v>731</v>
      </c>
      <c r="W406" s="87" t="s">
        <v>106</v>
      </c>
      <c r="X406" s="87" t="s">
        <v>104</v>
      </c>
    </row>
    <row r="407" spans="1:24" hidden="1">
      <c r="A407" s="91" t="s">
        <v>856</v>
      </c>
      <c r="B407" s="75"/>
      <c r="C407" s="75"/>
      <c r="D407" s="75"/>
      <c r="E407" s="75"/>
      <c r="F407" s="318"/>
      <c r="G407" s="407"/>
      <c r="H407" s="75"/>
      <c r="I407" s="412"/>
      <c r="J407" s="420"/>
      <c r="K407" s="75"/>
      <c r="L407" s="75"/>
      <c r="M407" s="75"/>
      <c r="N407" s="75"/>
      <c r="O407" s="102"/>
      <c r="P407" s="79"/>
      <c r="Q407" s="79"/>
      <c r="R407" s="79">
        <v>36</v>
      </c>
      <c r="S407" s="80" t="s">
        <v>839</v>
      </c>
      <c r="T407" s="104" t="s">
        <v>100</v>
      </c>
      <c r="U407" s="79" t="s">
        <v>857</v>
      </c>
      <c r="V407" s="79" t="s">
        <v>731</v>
      </c>
      <c r="W407" s="87" t="s">
        <v>106</v>
      </c>
      <c r="X407" s="87" t="s">
        <v>104</v>
      </c>
    </row>
    <row r="408" spans="1:24" ht="25.5" hidden="1">
      <c r="A408" s="91" t="s">
        <v>858</v>
      </c>
      <c r="B408" s="75"/>
      <c r="C408" s="75"/>
      <c r="D408" s="75"/>
      <c r="E408" s="75"/>
      <c r="F408" s="318"/>
      <c r="G408" s="407"/>
      <c r="H408" s="75"/>
      <c r="I408" s="412"/>
      <c r="J408" s="420"/>
      <c r="K408" s="75"/>
      <c r="L408" s="75"/>
      <c r="M408" s="75"/>
      <c r="N408" s="75"/>
      <c r="O408" s="102"/>
      <c r="P408" s="79"/>
      <c r="Q408" s="79"/>
      <c r="R408" s="79">
        <v>40</v>
      </c>
      <c r="S408" s="80" t="s">
        <v>839</v>
      </c>
      <c r="T408" s="104" t="s">
        <v>100</v>
      </c>
      <c r="U408" s="79" t="s">
        <v>859</v>
      </c>
      <c r="V408" s="79" t="s">
        <v>731</v>
      </c>
      <c r="W408" s="87" t="s">
        <v>106</v>
      </c>
      <c r="X408" s="87" t="s">
        <v>104</v>
      </c>
    </row>
    <row r="409" spans="1:24" hidden="1">
      <c r="A409" s="91" t="s">
        <v>860</v>
      </c>
      <c r="B409" s="75"/>
      <c r="C409" s="75"/>
      <c r="D409" s="75"/>
      <c r="E409" s="75"/>
      <c r="F409" s="318"/>
      <c r="G409" s="407"/>
      <c r="H409" s="75"/>
      <c r="I409" s="412"/>
      <c r="J409" s="420"/>
      <c r="K409" s="75"/>
      <c r="L409" s="75"/>
      <c r="M409" s="75"/>
      <c r="N409" s="75"/>
      <c r="O409" s="102"/>
      <c r="P409" s="79"/>
      <c r="Q409" s="79"/>
      <c r="R409" s="79">
        <v>40</v>
      </c>
      <c r="S409" s="80" t="s">
        <v>839</v>
      </c>
      <c r="T409" s="104" t="s">
        <v>100</v>
      </c>
      <c r="U409" s="79" t="s">
        <v>861</v>
      </c>
      <c r="V409" s="79" t="s">
        <v>731</v>
      </c>
      <c r="W409" s="87" t="s">
        <v>106</v>
      </c>
      <c r="X409" s="87" t="s">
        <v>104</v>
      </c>
    </row>
    <row r="410" spans="1:24" ht="25.5" hidden="1">
      <c r="A410" s="91" t="s">
        <v>862</v>
      </c>
      <c r="B410" s="75"/>
      <c r="C410" s="75"/>
      <c r="D410" s="75"/>
      <c r="E410" s="75"/>
      <c r="F410" s="318"/>
      <c r="G410" s="407"/>
      <c r="H410" s="75"/>
      <c r="I410" s="412"/>
      <c r="J410" s="420"/>
      <c r="K410" s="75"/>
      <c r="L410" s="75"/>
      <c r="M410" s="75"/>
      <c r="N410" s="75"/>
      <c r="O410" s="102"/>
      <c r="P410" s="79"/>
      <c r="Q410" s="79"/>
      <c r="R410" s="79">
        <v>41</v>
      </c>
      <c r="S410" s="80" t="s">
        <v>839</v>
      </c>
      <c r="T410" s="104" t="s">
        <v>100</v>
      </c>
      <c r="U410" s="79" t="s">
        <v>863</v>
      </c>
      <c r="V410" s="79" t="s">
        <v>731</v>
      </c>
      <c r="W410" s="87" t="s">
        <v>106</v>
      </c>
      <c r="X410" s="87" t="s">
        <v>104</v>
      </c>
    </row>
    <row r="411" spans="1:24" hidden="1">
      <c r="A411" s="91" t="s">
        <v>864</v>
      </c>
      <c r="B411" s="75"/>
      <c r="C411" s="75"/>
      <c r="D411" s="75"/>
      <c r="E411" s="75"/>
      <c r="F411" s="318"/>
      <c r="G411" s="407"/>
      <c r="H411" s="75"/>
      <c r="I411" s="412"/>
      <c r="J411" s="420"/>
      <c r="K411" s="75"/>
      <c r="L411" s="75"/>
      <c r="M411" s="75"/>
      <c r="N411" s="75"/>
      <c r="O411" s="102"/>
      <c r="P411" s="79"/>
      <c r="Q411" s="79"/>
      <c r="R411" s="79">
        <v>40</v>
      </c>
      <c r="S411" s="80" t="s">
        <v>839</v>
      </c>
      <c r="T411" s="104" t="s">
        <v>100</v>
      </c>
      <c r="U411" s="79" t="s">
        <v>865</v>
      </c>
      <c r="V411" s="79" t="s">
        <v>731</v>
      </c>
      <c r="W411" s="87" t="s">
        <v>106</v>
      </c>
      <c r="X411" s="87" t="s">
        <v>104</v>
      </c>
    </row>
    <row r="412" spans="1:24" ht="25.5" hidden="1">
      <c r="A412" s="91" t="s">
        <v>866</v>
      </c>
      <c r="B412" s="75"/>
      <c r="C412" s="75"/>
      <c r="D412" s="75"/>
      <c r="E412" s="75"/>
      <c r="F412" s="318"/>
      <c r="G412" s="407"/>
      <c r="H412" s="75"/>
      <c r="I412" s="412"/>
      <c r="J412" s="420"/>
      <c r="K412" s="75"/>
      <c r="L412" s="75"/>
      <c r="M412" s="75"/>
      <c r="N412" s="75"/>
      <c r="O412" s="102"/>
      <c r="P412" s="79"/>
      <c r="Q412" s="79"/>
      <c r="R412" s="79">
        <v>42</v>
      </c>
      <c r="S412" s="80" t="s">
        <v>839</v>
      </c>
      <c r="T412" s="104" t="s">
        <v>100</v>
      </c>
      <c r="U412" s="79" t="s">
        <v>867</v>
      </c>
      <c r="V412" s="79" t="s">
        <v>731</v>
      </c>
      <c r="W412" s="87" t="s">
        <v>106</v>
      </c>
      <c r="X412" s="87" t="s">
        <v>104</v>
      </c>
    </row>
    <row r="413" spans="1:24" hidden="1">
      <c r="A413" s="91" t="s">
        <v>868</v>
      </c>
      <c r="B413" s="75"/>
      <c r="C413" s="75"/>
      <c r="D413" s="75"/>
      <c r="E413" s="75"/>
      <c r="F413" s="318"/>
      <c r="G413" s="407"/>
      <c r="H413" s="75"/>
      <c r="I413" s="412"/>
      <c r="J413" s="420"/>
      <c r="K413" s="75"/>
      <c r="L413" s="75"/>
      <c r="M413" s="75"/>
      <c r="N413" s="75"/>
      <c r="O413" s="102"/>
      <c r="P413" s="79"/>
      <c r="Q413" s="79"/>
      <c r="R413" s="79">
        <v>42</v>
      </c>
      <c r="S413" s="80" t="s">
        <v>839</v>
      </c>
      <c r="T413" s="104" t="s">
        <v>100</v>
      </c>
      <c r="U413" s="79" t="s">
        <v>869</v>
      </c>
      <c r="V413" s="79" t="s">
        <v>731</v>
      </c>
      <c r="W413" s="87" t="s">
        <v>106</v>
      </c>
      <c r="X413" s="87" t="s">
        <v>104</v>
      </c>
    </row>
    <row r="414" spans="1:24" ht="25.5" hidden="1">
      <c r="A414" s="91" t="s">
        <v>870</v>
      </c>
      <c r="B414" s="75"/>
      <c r="C414" s="75"/>
      <c r="D414" s="75"/>
      <c r="E414" s="75"/>
      <c r="F414" s="318"/>
      <c r="G414" s="407"/>
      <c r="H414" s="75"/>
      <c r="I414" s="412"/>
      <c r="J414" s="420"/>
      <c r="K414" s="75"/>
      <c r="L414" s="75"/>
      <c r="M414" s="75"/>
      <c r="N414" s="75"/>
      <c r="O414" s="102"/>
      <c r="P414" s="79"/>
      <c r="Q414" s="79"/>
      <c r="R414" s="79">
        <v>40</v>
      </c>
      <c r="S414" s="80" t="s">
        <v>839</v>
      </c>
      <c r="T414" s="104" t="s">
        <v>100</v>
      </c>
      <c r="U414" s="79" t="s">
        <v>871</v>
      </c>
      <c r="V414" s="79" t="s">
        <v>731</v>
      </c>
      <c r="W414" s="87" t="s">
        <v>106</v>
      </c>
      <c r="X414" s="87" t="s">
        <v>104</v>
      </c>
    </row>
    <row r="415" spans="1:24" hidden="1">
      <c r="A415" s="91" t="s">
        <v>870</v>
      </c>
      <c r="B415" s="75"/>
      <c r="C415" s="75"/>
      <c r="D415" s="75"/>
      <c r="E415" s="75"/>
      <c r="F415" s="318"/>
      <c r="G415" s="407"/>
      <c r="H415" s="75"/>
      <c r="I415" s="412"/>
      <c r="J415" s="421"/>
      <c r="K415" s="76"/>
      <c r="L415" s="76"/>
      <c r="M415" s="76"/>
      <c r="N415" s="76"/>
      <c r="O415" s="102"/>
      <c r="P415" s="79"/>
      <c r="Q415" s="79"/>
      <c r="R415" s="79">
        <v>42</v>
      </c>
      <c r="S415" s="80" t="s">
        <v>839</v>
      </c>
      <c r="T415" s="104" t="s">
        <v>100</v>
      </c>
      <c r="U415" s="79" t="s">
        <v>872</v>
      </c>
      <c r="V415" s="79" t="s">
        <v>731</v>
      </c>
      <c r="W415" s="87" t="s">
        <v>106</v>
      </c>
      <c r="X415" s="87" t="s">
        <v>104</v>
      </c>
    </row>
    <row r="416" spans="1:24" hidden="1">
      <c r="A416" s="110"/>
      <c r="B416" s="111"/>
      <c r="C416" s="111"/>
      <c r="D416" s="111"/>
      <c r="E416" s="111"/>
      <c r="F416" s="318"/>
      <c r="G416" s="407"/>
      <c r="H416" s="111"/>
      <c r="I416" s="412"/>
      <c r="J416" s="420"/>
      <c r="K416" s="111"/>
      <c r="L416" s="111"/>
      <c r="M416" s="111"/>
      <c r="N416" s="111"/>
      <c r="O416" s="112"/>
      <c r="P416" s="79"/>
      <c r="Q416" s="79"/>
      <c r="R416" s="79"/>
      <c r="S416" s="113"/>
      <c r="T416" s="104"/>
      <c r="U416" s="79"/>
      <c r="V416" s="79"/>
      <c r="W416" s="87"/>
      <c r="X416" s="87"/>
    </row>
    <row r="417" spans="1:24" ht="25.5" hidden="1">
      <c r="A417" s="91" t="s">
        <v>873</v>
      </c>
      <c r="B417" s="75"/>
      <c r="C417" s="75"/>
      <c r="D417" s="75"/>
      <c r="E417" s="75"/>
      <c r="F417" s="318"/>
      <c r="G417" s="407"/>
      <c r="H417" s="75"/>
      <c r="I417" s="412"/>
      <c r="J417" s="420"/>
      <c r="K417" s="75"/>
      <c r="L417" s="75"/>
      <c r="M417" s="75"/>
      <c r="N417" s="75"/>
      <c r="O417" s="102"/>
      <c r="P417" s="79"/>
      <c r="Q417" s="79"/>
      <c r="R417" s="79">
        <v>35</v>
      </c>
      <c r="S417" s="80" t="s">
        <v>874</v>
      </c>
      <c r="T417" s="104" t="s">
        <v>875</v>
      </c>
      <c r="U417" s="79" t="s">
        <v>876</v>
      </c>
      <c r="V417" s="79" t="s">
        <v>731</v>
      </c>
      <c r="W417" s="87" t="s">
        <v>106</v>
      </c>
      <c r="X417" s="87" t="s">
        <v>104</v>
      </c>
    </row>
    <row r="418" spans="1:24" hidden="1">
      <c r="A418" s="91" t="s">
        <v>877</v>
      </c>
      <c r="B418" s="75"/>
      <c r="C418" s="75"/>
      <c r="D418" s="75"/>
      <c r="E418" s="75"/>
      <c r="F418" s="318"/>
      <c r="G418" s="407"/>
      <c r="H418" s="75"/>
      <c r="I418" s="412"/>
      <c r="J418" s="420"/>
      <c r="K418" s="75"/>
      <c r="L418" s="75"/>
      <c r="M418" s="75"/>
      <c r="N418" s="75"/>
      <c r="O418" s="102"/>
      <c r="P418" s="79"/>
      <c r="Q418" s="79"/>
      <c r="R418" s="79">
        <v>42</v>
      </c>
      <c r="S418" s="80" t="s">
        <v>874</v>
      </c>
      <c r="T418" s="104" t="s">
        <v>113</v>
      </c>
      <c r="U418" s="79" t="s">
        <v>878</v>
      </c>
      <c r="V418" s="79" t="s">
        <v>731</v>
      </c>
      <c r="W418" s="87" t="s">
        <v>106</v>
      </c>
      <c r="X418" s="87" t="s">
        <v>104</v>
      </c>
    </row>
    <row r="419" spans="1:24" hidden="1">
      <c r="A419" s="91" t="s">
        <v>877</v>
      </c>
      <c r="B419" s="75"/>
      <c r="C419" s="75"/>
      <c r="D419" s="75"/>
      <c r="E419" s="75"/>
      <c r="F419" s="318"/>
      <c r="G419" s="407"/>
      <c r="H419" s="75"/>
      <c r="I419" s="412"/>
      <c r="J419" s="420"/>
      <c r="K419" s="75"/>
      <c r="L419" s="75"/>
      <c r="M419" s="75"/>
      <c r="N419" s="75"/>
      <c r="O419" s="102"/>
      <c r="P419" s="79"/>
      <c r="Q419" s="79"/>
      <c r="R419" s="79">
        <v>40</v>
      </c>
      <c r="S419" s="80" t="s">
        <v>874</v>
      </c>
      <c r="T419" s="104" t="s">
        <v>113</v>
      </c>
      <c r="U419" s="79" t="s">
        <v>879</v>
      </c>
      <c r="V419" s="79" t="s">
        <v>731</v>
      </c>
      <c r="W419" s="87" t="s">
        <v>106</v>
      </c>
      <c r="X419" s="87" t="s">
        <v>104</v>
      </c>
    </row>
    <row r="420" spans="1:24" ht="25.5" hidden="1">
      <c r="A420" s="91" t="s">
        <v>880</v>
      </c>
      <c r="B420" s="75"/>
      <c r="C420" s="75"/>
      <c r="D420" s="75"/>
      <c r="E420" s="75"/>
      <c r="F420" s="318"/>
      <c r="G420" s="407"/>
      <c r="H420" s="75"/>
      <c r="I420" s="412"/>
      <c r="J420" s="420"/>
      <c r="K420" s="75"/>
      <c r="L420" s="75"/>
      <c r="M420" s="75"/>
      <c r="N420" s="75"/>
      <c r="O420" s="102"/>
      <c r="P420" s="79"/>
      <c r="Q420" s="79"/>
      <c r="R420" s="79">
        <v>41</v>
      </c>
      <c r="S420" s="80" t="s">
        <v>874</v>
      </c>
      <c r="T420" s="104" t="s">
        <v>113</v>
      </c>
      <c r="U420" s="79" t="s">
        <v>881</v>
      </c>
      <c r="V420" s="79" t="s">
        <v>731</v>
      </c>
      <c r="W420" s="87" t="s">
        <v>106</v>
      </c>
      <c r="X420" s="87" t="s">
        <v>104</v>
      </c>
    </row>
    <row r="421" spans="1:24" hidden="1">
      <c r="A421" s="91" t="s">
        <v>882</v>
      </c>
      <c r="B421" s="75"/>
      <c r="C421" s="75"/>
      <c r="D421" s="75"/>
      <c r="E421" s="75"/>
      <c r="F421" s="318"/>
      <c r="G421" s="407"/>
      <c r="H421" s="75"/>
      <c r="I421" s="412"/>
      <c r="J421" s="420"/>
      <c r="K421" s="75"/>
      <c r="L421" s="75"/>
      <c r="M421" s="75"/>
      <c r="N421" s="75"/>
      <c r="O421" s="102"/>
      <c r="P421" s="79"/>
      <c r="Q421" s="79"/>
      <c r="R421" s="79">
        <v>36</v>
      </c>
      <c r="S421" s="80" t="s">
        <v>874</v>
      </c>
      <c r="T421" s="104" t="s">
        <v>113</v>
      </c>
      <c r="U421" s="79" t="s">
        <v>883</v>
      </c>
      <c r="V421" s="79" t="s">
        <v>731</v>
      </c>
      <c r="W421" s="87" t="s">
        <v>106</v>
      </c>
      <c r="X421" s="87" t="s">
        <v>104</v>
      </c>
    </row>
    <row r="422" spans="1:24" hidden="1">
      <c r="A422" s="91" t="s">
        <v>882</v>
      </c>
      <c r="B422" s="75"/>
      <c r="C422" s="75"/>
      <c r="D422" s="75"/>
      <c r="E422" s="75"/>
      <c r="F422" s="318"/>
      <c r="G422" s="407"/>
      <c r="H422" s="75"/>
      <c r="I422" s="412"/>
      <c r="J422" s="420"/>
      <c r="K422" s="75"/>
      <c r="L422" s="75"/>
      <c r="M422" s="75"/>
      <c r="N422" s="75"/>
      <c r="O422" s="102"/>
      <c r="P422" s="79"/>
      <c r="Q422" s="79"/>
      <c r="R422" s="79">
        <v>37</v>
      </c>
      <c r="S422" s="80" t="s">
        <v>874</v>
      </c>
      <c r="T422" s="104" t="s">
        <v>113</v>
      </c>
      <c r="U422" s="79" t="s">
        <v>884</v>
      </c>
      <c r="V422" s="79" t="s">
        <v>731</v>
      </c>
      <c r="W422" s="87" t="s">
        <v>106</v>
      </c>
      <c r="X422" s="87" t="s">
        <v>104</v>
      </c>
    </row>
    <row r="423" spans="1:24" hidden="1">
      <c r="A423" s="91" t="s">
        <v>882</v>
      </c>
      <c r="B423" s="75"/>
      <c r="C423" s="75"/>
      <c r="D423" s="75"/>
      <c r="E423" s="75"/>
      <c r="F423" s="318"/>
      <c r="G423" s="407"/>
      <c r="H423" s="75"/>
      <c r="I423" s="412"/>
      <c r="J423" s="420"/>
      <c r="K423" s="75"/>
      <c r="L423" s="75"/>
      <c r="M423" s="75"/>
      <c r="N423" s="75"/>
      <c r="O423" s="102"/>
      <c r="P423" s="79"/>
      <c r="Q423" s="79"/>
      <c r="R423" s="79">
        <v>35</v>
      </c>
      <c r="S423" s="80" t="s">
        <v>874</v>
      </c>
      <c r="T423" s="104" t="s">
        <v>113</v>
      </c>
      <c r="U423" s="79" t="s">
        <v>885</v>
      </c>
      <c r="V423" s="79" t="s">
        <v>731</v>
      </c>
      <c r="W423" s="87" t="s">
        <v>106</v>
      </c>
      <c r="X423" s="87" t="s">
        <v>104</v>
      </c>
    </row>
    <row r="424" spans="1:24" hidden="1">
      <c r="A424" s="91" t="s">
        <v>882</v>
      </c>
      <c r="B424" s="75"/>
      <c r="C424" s="75"/>
      <c r="D424" s="75"/>
      <c r="E424" s="75"/>
      <c r="F424" s="318"/>
      <c r="G424" s="407"/>
      <c r="H424" s="75"/>
      <c r="I424" s="412"/>
      <c r="J424" s="420"/>
      <c r="K424" s="75"/>
      <c r="L424" s="75"/>
      <c r="M424" s="75"/>
      <c r="N424" s="75"/>
      <c r="O424" s="102"/>
      <c r="P424" s="79"/>
      <c r="Q424" s="79"/>
      <c r="R424" s="79">
        <v>48</v>
      </c>
      <c r="S424" s="80" t="s">
        <v>874</v>
      </c>
      <c r="T424" s="104" t="s">
        <v>113</v>
      </c>
      <c r="U424" s="79" t="s">
        <v>886</v>
      </c>
      <c r="V424" s="79" t="s">
        <v>731</v>
      </c>
      <c r="W424" s="87" t="s">
        <v>106</v>
      </c>
      <c r="X424" s="87" t="s">
        <v>104</v>
      </c>
    </row>
    <row r="425" spans="1:24" hidden="1">
      <c r="A425" s="91" t="s">
        <v>887</v>
      </c>
      <c r="B425" s="75"/>
      <c r="C425" s="75"/>
      <c r="D425" s="75"/>
      <c r="E425" s="75"/>
      <c r="F425" s="318"/>
      <c r="G425" s="407"/>
      <c r="H425" s="75"/>
      <c r="I425" s="412"/>
      <c r="J425" s="420"/>
      <c r="K425" s="75"/>
      <c r="L425" s="75"/>
      <c r="M425" s="75"/>
      <c r="N425" s="75"/>
      <c r="O425" s="102"/>
      <c r="P425" s="79"/>
      <c r="Q425" s="79"/>
      <c r="R425" s="79">
        <v>39</v>
      </c>
      <c r="S425" s="80" t="s">
        <v>874</v>
      </c>
      <c r="T425" s="104" t="s">
        <v>113</v>
      </c>
      <c r="U425" s="79" t="s">
        <v>888</v>
      </c>
      <c r="V425" s="79" t="s">
        <v>731</v>
      </c>
      <c r="W425" s="87" t="s">
        <v>106</v>
      </c>
      <c r="X425" s="87" t="s">
        <v>104</v>
      </c>
    </row>
    <row r="426" spans="1:24" hidden="1">
      <c r="A426" s="91" t="s">
        <v>887</v>
      </c>
      <c r="B426" s="75"/>
      <c r="C426" s="75"/>
      <c r="D426" s="75"/>
      <c r="E426" s="75"/>
      <c r="F426" s="318"/>
      <c r="G426" s="407"/>
      <c r="H426" s="75"/>
      <c r="I426" s="412"/>
      <c r="J426" s="420"/>
      <c r="K426" s="75"/>
      <c r="L426" s="75"/>
      <c r="M426" s="75"/>
      <c r="N426" s="75"/>
      <c r="O426" s="102"/>
      <c r="P426" s="79"/>
      <c r="Q426" s="79"/>
      <c r="R426" s="79">
        <v>40</v>
      </c>
      <c r="S426" s="80" t="s">
        <v>874</v>
      </c>
      <c r="T426" s="104" t="s">
        <v>113</v>
      </c>
      <c r="U426" s="79" t="s">
        <v>889</v>
      </c>
      <c r="V426" s="79" t="s">
        <v>731</v>
      </c>
      <c r="W426" s="87" t="s">
        <v>106</v>
      </c>
      <c r="X426" s="87" t="s">
        <v>104</v>
      </c>
    </row>
    <row r="427" spans="1:24" hidden="1">
      <c r="A427" s="91" t="s">
        <v>890</v>
      </c>
      <c r="B427" s="75"/>
      <c r="C427" s="75"/>
      <c r="D427" s="75"/>
      <c r="E427" s="75"/>
      <c r="F427" s="318"/>
      <c r="G427" s="407"/>
      <c r="H427" s="75"/>
      <c r="I427" s="412"/>
      <c r="J427" s="420"/>
      <c r="K427" s="75"/>
      <c r="L427" s="75"/>
      <c r="M427" s="75"/>
      <c r="N427" s="75"/>
      <c r="O427" s="102"/>
      <c r="P427" s="79"/>
      <c r="Q427" s="79"/>
      <c r="R427" s="79">
        <v>40</v>
      </c>
      <c r="S427" s="80" t="s">
        <v>874</v>
      </c>
      <c r="T427" s="104" t="s">
        <v>113</v>
      </c>
      <c r="U427" s="79" t="s">
        <v>891</v>
      </c>
      <c r="V427" s="79" t="s">
        <v>731</v>
      </c>
      <c r="W427" s="87" t="s">
        <v>106</v>
      </c>
      <c r="X427" s="87" t="s">
        <v>104</v>
      </c>
    </row>
    <row r="428" spans="1:24" hidden="1">
      <c r="A428" s="91" t="s">
        <v>890</v>
      </c>
      <c r="B428" s="75"/>
      <c r="C428" s="75"/>
      <c r="D428" s="75"/>
      <c r="E428" s="75"/>
      <c r="F428" s="318"/>
      <c r="G428" s="407"/>
      <c r="H428" s="75"/>
      <c r="I428" s="412"/>
      <c r="J428" s="420"/>
      <c r="K428" s="75"/>
      <c r="L428" s="75"/>
      <c r="M428" s="75"/>
      <c r="N428" s="75"/>
      <c r="O428" s="102"/>
      <c r="P428" s="79"/>
      <c r="Q428" s="79"/>
      <c r="R428" s="79">
        <v>40</v>
      </c>
      <c r="S428" s="80" t="s">
        <v>874</v>
      </c>
      <c r="T428" s="104" t="s">
        <v>113</v>
      </c>
      <c r="U428" s="79" t="s">
        <v>892</v>
      </c>
      <c r="V428" s="79" t="s">
        <v>731</v>
      </c>
      <c r="W428" s="87" t="s">
        <v>106</v>
      </c>
      <c r="X428" s="87" t="s">
        <v>104</v>
      </c>
    </row>
    <row r="429" spans="1:24" hidden="1">
      <c r="A429" s="91" t="s">
        <v>893</v>
      </c>
      <c r="B429" s="75"/>
      <c r="C429" s="75"/>
      <c r="D429" s="75"/>
      <c r="E429" s="75"/>
      <c r="F429" s="318"/>
      <c r="G429" s="407"/>
      <c r="H429" s="75"/>
      <c r="I429" s="412"/>
      <c r="J429" s="420"/>
      <c r="K429" s="75"/>
      <c r="L429" s="75"/>
      <c r="M429" s="75"/>
      <c r="N429" s="75"/>
      <c r="O429" s="102"/>
      <c r="P429" s="79"/>
      <c r="Q429" s="79"/>
      <c r="R429" s="79">
        <v>40</v>
      </c>
      <c r="S429" s="80" t="s">
        <v>874</v>
      </c>
      <c r="T429" s="104" t="s">
        <v>113</v>
      </c>
      <c r="U429" s="79" t="s">
        <v>894</v>
      </c>
      <c r="V429" s="79" t="s">
        <v>731</v>
      </c>
      <c r="W429" s="87" t="s">
        <v>106</v>
      </c>
      <c r="X429" s="87" t="s">
        <v>104</v>
      </c>
    </row>
    <row r="430" spans="1:24" hidden="1">
      <c r="A430" s="91" t="s">
        <v>893</v>
      </c>
      <c r="B430" s="75"/>
      <c r="C430" s="75"/>
      <c r="D430" s="75"/>
      <c r="E430" s="75"/>
      <c r="F430" s="318"/>
      <c r="G430" s="407"/>
      <c r="H430" s="75"/>
      <c r="I430" s="412"/>
      <c r="J430" s="420"/>
      <c r="K430" s="75"/>
      <c r="L430" s="75"/>
      <c r="M430" s="75"/>
      <c r="N430" s="75"/>
      <c r="O430" s="102"/>
      <c r="P430" s="79"/>
      <c r="Q430" s="79"/>
      <c r="R430" s="79">
        <v>40</v>
      </c>
      <c r="S430" s="80" t="s">
        <v>874</v>
      </c>
      <c r="T430" s="104" t="s">
        <v>113</v>
      </c>
      <c r="U430" s="79" t="s">
        <v>895</v>
      </c>
      <c r="V430" s="79" t="s">
        <v>731</v>
      </c>
      <c r="W430" s="87" t="s">
        <v>106</v>
      </c>
      <c r="X430" s="87" t="s">
        <v>104</v>
      </c>
    </row>
    <row r="431" spans="1:24" hidden="1">
      <c r="A431" s="91" t="s">
        <v>896</v>
      </c>
      <c r="B431" s="75"/>
      <c r="C431" s="75"/>
      <c r="D431" s="75"/>
      <c r="E431" s="75"/>
      <c r="F431" s="318"/>
      <c r="G431" s="407"/>
      <c r="H431" s="75"/>
      <c r="I431" s="412"/>
      <c r="J431" s="420"/>
      <c r="K431" s="75"/>
      <c r="L431" s="75"/>
      <c r="M431" s="75"/>
      <c r="N431" s="75"/>
      <c r="O431" s="102"/>
      <c r="P431" s="79"/>
      <c r="Q431" s="79"/>
      <c r="R431" s="79">
        <v>40</v>
      </c>
      <c r="S431" s="80" t="s">
        <v>874</v>
      </c>
      <c r="T431" s="104" t="s">
        <v>113</v>
      </c>
      <c r="U431" s="79" t="s">
        <v>897</v>
      </c>
      <c r="V431" s="79" t="s">
        <v>731</v>
      </c>
      <c r="W431" s="87" t="s">
        <v>106</v>
      </c>
      <c r="X431" s="87" t="s">
        <v>104</v>
      </c>
    </row>
    <row r="432" spans="1:24" hidden="1">
      <c r="A432" s="91" t="s">
        <v>896</v>
      </c>
      <c r="B432" s="75"/>
      <c r="C432" s="75"/>
      <c r="D432" s="75"/>
      <c r="E432" s="75"/>
      <c r="F432" s="318"/>
      <c r="G432" s="407"/>
      <c r="H432" s="75"/>
      <c r="I432" s="412"/>
      <c r="J432" s="420"/>
      <c r="K432" s="75"/>
      <c r="L432" s="75"/>
      <c r="M432" s="75"/>
      <c r="N432" s="75"/>
      <c r="O432" s="102"/>
      <c r="P432" s="79"/>
      <c r="Q432" s="79"/>
      <c r="R432" s="79">
        <v>42</v>
      </c>
      <c r="S432" s="80" t="s">
        <v>874</v>
      </c>
      <c r="T432" s="104" t="s">
        <v>113</v>
      </c>
      <c r="U432" s="79" t="s">
        <v>898</v>
      </c>
      <c r="V432" s="79" t="s">
        <v>731</v>
      </c>
      <c r="W432" s="87" t="s">
        <v>106</v>
      </c>
      <c r="X432" s="87" t="s">
        <v>104</v>
      </c>
    </row>
    <row r="433" spans="1:24" hidden="1">
      <c r="A433" s="91" t="s">
        <v>899</v>
      </c>
      <c r="B433" s="75"/>
      <c r="C433" s="75"/>
      <c r="D433" s="75"/>
      <c r="E433" s="75"/>
      <c r="F433" s="318"/>
      <c r="G433" s="407"/>
      <c r="H433" s="75"/>
      <c r="I433" s="412"/>
      <c r="J433" s="420"/>
      <c r="K433" s="75"/>
      <c r="L433" s="75"/>
      <c r="M433" s="75"/>
      <c r="N433" s="75"/>
      <c r="O433" s="102"/>
      <c r="P433" s="79"/>
      <c r="Q433" s="79"/>
      <c r="R433" s="79">
        <v>40</v>
      </c>
      <c r="S433" s="80" t="s">
        <v>874</v>
      </c>
      <c r="T433" s="104" t="s">
        <v>113</v>
      </c>
      <c r="U433" s="79" t="s">
        <v>900</v>
      </c>
      <c r="V433" s="79" t="s">
        <v>731</v>
      </c>
      <c r="W433" s="87" t="s">
        <v>106</v>
      </c>
      <c r="X433" s="87" t="s">
        <v>104</v>
      </c>
    </row>
    <row r="434" spans="1:24" hidden="1">
      <c r="A434" s="91" t="s">
        <v>899</v>
      </c>
      <c r="B434" s="75"/>
      <c r="C434" s="75"/>
      <c r="D434" s="75"/>
      <c r="E434" s="75"/>
      <c r="F434" s="318"/>
      <c r="G434" s="407"/>
      <c r="H434" s="75"/>
      <c r="I434" s="412"/>
      <c r="J434" s="420"/>
      <c r="K434" s="75"/>
      <c r="L434" s="75"/>
      <c r="M434" s="75"/>
      <c r="N434" s="75"/>
      <c r="O434" s="102"/>
      <c r="P434" s="79"/>
      <c r="Q434" s="79"/>
      <c r="R434" s="79">
        <v>43</v>
      </c>
      <c r="S434" s="80" t="s">
        <v>874</v>
      </c>
      <c r="T434" s="104" t="s">
        <v>113</v>
      </c>
      <c r="U434" s="79" t="s">
        <v>901</v>
      </c>
      <c r="V434" s="79" t="s">
        <v>731</v>
      </c>
      <c r="W434" s="87" t="s">
        <v>106</v>
      </c>
      <c r="X434" s="87" t="s">
        <v>104</v>
      </c>
    </row>
    <row r="435" spans="1:24" hidden="1">
      <c r="A435" s="91" t="s">
        <v>902</v>
      </c>
      <c r="B435" s="75"/>
      <c r="C435" s="75"/>
      <c r="D435" s="75"/>
      <c r="E435" s="75"/>
      <c r="F435" s="318"/>
      <c r="G435" s="407"/>
      <c r="H435" s="75"/>
      <c r="I435" s="412"/>
      <c r="J435" s="420"/>
      <c r="K435" s="75"/>
      <c r="L435" s="75"/>
      <c r="M435" s="75"/>
      <c r="N435" s="75"/>
      <c r="O435" s="102"/>
      <c r="P435" s="79"/>
      <c r="Q435" s="79"/>
      <c r="R435" s="79">
        <v>42</v>
      </c>
      <c r="S435" s="80" t="s">
        <v>874</v>
      </c>
      <c r="T435" s="104" t="s">
        <v>113</v>
      </c>
      <c r="U435" s="79" t="s">
        <v>903</v>
      </c>
      <c r="V435" s="79" t="s">
        <v>731</v>
      </c>
      <c r="W435" s="87" t="s">
        <v>106</v>
      </c>
      <c r="X435" s="87" t="s">
        <v>104</v>
      </c>
    </row>
    <row r="436" spans="1:24" hidden="1">
      <c r="A436" s="91" t="s">
        <v>902</v>
      </c>
      <c r="B436" s="75"/>
      <c r="C436" s="75"/>
      <c r="D436" s="75"/>
      <c r="E436" s="75"/>
      <c r="F436" s="318"/>
      <c r="G436" s="407"/>
      <c r="H436" s="75"/>
      <c r="I436" s="412"/>
      <c r="J436" s="420"/>
      <c r="K436" s="75"/>
      <c r="L436" s="75"/>
      <c r="M436" s="75"/>
      <c r="N436" s="75"/>
      <c r="O436" s="102"/>
      <c r="P436" s="79"/>
      <c r="Q436" s="79"/>
      <c r="R436" s="79">
        <v>38</v>
      </c>
      <c r="S436" s="80" t="s">
        <v>874</v>
      </c>
      <c r="T436" s="104" t="s">
        <v>113</v>
      </c>
      <c r="U436" s="79" t="s">
        <v>904</v>
      </c>
      <c r="V436" s="79" t="s">
        <v>731</v>
      </c>
      <c r="W436" s="87" t="s">
        <v>106</v>
      </c>
      <c r="X436" s="87" t="s">
        <v>104</v>
      </c>
    </row>
    <row r="437" spans="1:24" ht="25.5" hidden="1">
      <c r="A437" s="91" t="s">
        <v>905</v>
      </c>
      <c r="B437" s="75"/>
      <c r="C437" s="75"/>
      <c r="D437" s="75"/>
      <c r="E437" s="75"/>
      <c r="F437" s="318"/>
      <c r="G437" s="407"/>
      <c r="H437" s="75"/>
      <c r="I437" s="412"/>
      <c r="J437" s="420"/>
      <c r="K437" s="75"/>
      <c r="L437" s="75"/>
      <c r="M437" s="75"/>
      <c r="N437" s="75"/>
      <c r="O437" s="102"/>
      <c r="P437" s="79"/>
      <c r="Q437" s="79"/>
      <c r="R437" s="79">
        <v>38</v>
      </c>
      <c r="S437" s="80" t="s">
        <v>874</v>
      </c>
      <c r="T437" s="104" t="s">
        <v>113</v>
      </c>
      <c r="U437" s="79" t="s">
        <v>906</v>
      </c>
      <c r="V437" s="79" t="s">
        <v>731</v>
      </c>
      <c r="W437" s="87" t="s">
        <v>106</v>
      </c>
      <c r="X437" s="87" t="s">
        <v>104</v>
      </c>
    </row>
    <row r="438" spans="1:24" ht="25.5" hidden="1">
      <c r="A438" s="91" t="s">
        <v>907</v>
      </c>
      <c r="B438" s="75"/>
      <c r="C438" s="75"/>
      <c r="D438" s="75"/>
      <c r="E438" s="75"/>
      <c r="F438" s="318"/>
      <c r="G438" s="407"/>
      <c r="H438" s="75"/>
      <c r="I438" s="412"/>
      <c r="J438" s="420"/>
      <c r="K438" s="75"/>
      <c r="L438" s="75"/>
      <c r="M438" s="75"/>
      <c r="N438" s="75"/>
      <c r="O438" s="102"/>
      <c r="P438" s="79"/>
      <c r="Q438" s="79"/>
      <c r="R438" s="79">
        <v>43</v>
      </c>
      <c r="S438" s="80" t="s">
        <v>908</v>
      </c>
      <c r="T438" s="104" t="s">
        <v>113</v>
      </c>
      <c r="U438" s="79" t="s">
        <v>909</v>
      </c>
      <c r="V438" s="79" t="s">
        <v>731</v>
      </c>
      <c r="W438" s="87" t="s">
        <v>106</v>
      </c>
      <c r="X438" s="87" t="s">
        <v>104</v>
      </c>
    </row>
    <row r="439" spans="1:24" ht="25.5" hidden="1">
      <c r="A439" s="91" t="s">
        <v>910</v>
      </c>
      <c r="B439" s="75"/>
      <c r="C439" s="75"/>
      <c r="D439" s="75"/>
      <c r="E439" s="75"/>
      <c r="F439" s="318"/>
      <c r="G439" s="407"/>
      <c r="H439" s="75"/>
      <c r="I439" s="412"/>
      <c r="J439" s="420"/>
      <c r="K439" s="75"/>
      <c r="L439" s="75"/>
      <c r="M439" s="75"/>
      <c r="N439" s="75"/>
      <c r="O439" s="102"/>
      <c r="P439" s="79"/>
      <c r="Q439" s="79"/>
      <c r="R439" s="79">
        <v>37</v>
      </c>
      <c r="S439" s="80" t="s">
        <v>820</v>
      </c>
      <c r="T439" s="104" t="s">
        <v>113</v>
      </c>
      <c r="U439" s="79" t="s">
        <v>911</v>
      </c>
      <c r="V439" s="79" t="s">
        <v>731</v>
      </c>
      <c r="W439" s="87" t="s">
        <v>106</v>
      </c>
      <c r="X439" s="87" t="s">
        <v>104</v>
      </c>
    </row>
    <row r="440" spans="1:24" hidden="1">
      <c r="A440" s="91" t="s">
        <v>912</v>
      </c>
      <c r="B440" s="75"/>
      <c r="C440" s="75"/>
      <c r="D440" s="75"/>
      <c r="E440" s="75"/>
      <c r="F440" s="318"/>
      <c r="G440" s="407"/>
      <c r="H440" s="75"/>
      <c r="I440" s="412"/>
      <c r="J440" s="420"/>
      <c r="K440" s="75"/>
      <c r="L440" s="75"/>
      <c r="M440" s="75"/>
      <c r="N440" s="75"/>
      <c r="O440" s="102"/>
      <c r="P440" s="79"/>
      <c r="Q440" s="79"/>
      <c r="R440" s="79">
        <v>42</v>
      </c>
      <c r="S440" s="80" t="s">
        <v>820</v>
      </c>
      <c r="T440" s="104" t="s">
        <v>113</v>
      </c>
      <c r="U440" s="79" t="s">
        <v>913</v>
      </c>
      <c r="V440" s="79" t="s">
        <v>731</v>
      </c>
      <c r="W440" s="87" t="s">
        <v>106</v>
      </c>
      <c r="X440" s="87" t="s">
        <v>104</v>
      </c>
    </row>
    <row r="441" spans="1:24" ht="25.5" hidden="1">
      <c r="A441" s="91" t="s">
        <v>914</v>
      </c>
      <c r="B441" s="75"/>
      <c r="C441" s="75"/>
      <c r="D441" s="75"/>
      <c r="E441" s="75"/>
      <c r="F441" s="318"/>
      <c r="G441" s="407"/>
      <c r="H441" s="75"/>
      <c r="I441" s="412"/>
      <c r="J441" s="420"/>
      <c r="K441" s="75"/>
      <c r="L441" s="75"/>
      <c r="M441" s="75"/>
      <c r="N441" s="75"/>
      <c r="O441" s="102"/>
      <c r="P441" s="79"/>
      <c r="Q441" s="79"/>
      <c r="R441" s="79">
        <v>40</v>
      </c>
      <c r="S441" s="80" t="s">
        <v>820</v>
      </c>
      <c r="T441" s="104" t="s">
        <v>113</v>
      </c>
      <c r="U441" s="79" t="s">
        <v>915</v>
      </c>
      <c r="V441" s="79" t="s">
        <v>731</v>
      </c>
      <c r="W441" s="87" t="s">
        <v>106</v>
      </c>
      <c r="X441" s="87" t="s">
        <v>104</v>
      </c>
    </row>
    <row r="442" spans="1:24" hidden="1">
      <c r="A442" s="91" t="s">
        <v>916</v>
      </c>
      <c r="B442" s="75"/>
      <c r="C442" s="75"/>
      <c r="D442" s="75"/>
      <c r="E442" s="75"/>
      <c r="F442" s="318"/>
      <c r="G442" s="407"/>
      <c r="H442" s="75"/>
      <c r="I442" s="412"/>
      <c r="J442" s="420"/>
      <c r="K442" s="75"/>
      <c r="L442" s="75"/>
      <c r="M442" s="75"/>
      <c r="N442" s="75"/>
      <c r="O442" s="102"/>
      <c r="P442" s="79"/>
      <c r="Q442" s="79"/>
      <c r="R442" s="79">
        <v>39</v>
      </c>
      <c r="S442" s="80" t="s">
        <v>820</v>
      </c>
      <c r="T442" s="104" t="s">
        <v>113</v>
      </c>
      <c r="U442" s="79" t="s">
        <v>917</v>
      </c>
      <c r="V442" s="79" t="s">
        <v>731</v>
      </c>
      <c r="W442" s="87" t="s">
        <v>106</v>
      </c>
      <c r="X442" s="87" t="s">
        <v>104</v>
      </c>
    </row>
    <row r="443" spans="1:24" hidden="1">
      <c r="A443" s="91" t="s">
        <v>918</v>
      </c>
      <c r="B443" s="75"/>
      <c r="C443" s="75"/>
      <c r="D443" s="75"/>
      <c r="E443" s="75"/>
      <c r="F443" s="318"/>
      <c r="G443" s="407"/>
      <c r="H443" s="75"/>
      <c r="I443" s="412"/>
      <c r="J443" s="420"/>
      <c r="K443" s="75"/>
      <c r="L443" s="75"/>
      <c r="M443" s="75"/>
      <c r="N443" s="75"/>
      <c r="O443" s="102"/>
      <c r="P443" s="79"/>
      <c r="Q443" s="79"/>
      <c r="R443" s="79">
        <v>35</v>
      </c>
      <c r="S443" s="80" t="s">
        <v>820</v>
      </c>
      <c r="T443" s="104" t="s">
        <v>113</v>
      </c>
      <c r="U443" s="79" t="s">
        <v>919</v>
      </c>
      <c r="V443" s="79" t="s">
        <v>731</v>
      </c>
      <c r="W443" s="87" t="s">
        <v>106</v>
      </c>
      <c r="X443" s="87" t="s">
        <v>104</v>
      </c>
    </row>
    <row r="444" spans="1:24" ht="25.5" hidden="1">
      <c r="A444" s="91" t="s">
        <v>920</v>
      </c>
      <c r="B444" s="75"/>
      <c r="C444" s="75"/>
      <c r="D444" s="75"/>
      <c r="E444" s="75"/>
      <c r="F444" s="318"/>
      <c r="G444" s="407"/>
      <c r="H444" s="75"/>
      <c r="I444" s="412"/>
      <c r="J444" s="420"/>
      <c r="K444" s="75"/>
      <c r="L444" s="75"/>
      <c r="M444" s="75"/>
      <c r="N444" s="75"/>
      <c r="O444" s="102"/>
      <c r="P444" s="79"/>
      <c r="Q444" s="79"/>
      <c r="R444" s="79">
        <v>43</v>
      </c>
      <c r="S444" s="80" t="s">
        <v>820</v>
      </c>
      <c r="T444" s="104" t="s">
        <v>921</v>
      </c>
      <c r="U444" s="79" t="s">
        <v>922</v>
      </c>
      <c r="V444" s="79" t="s">
        <v>731</v>
      </c>
      <c r="W444" s="87" t="s">
        <v>106</v>
      </c>
      <c r="X444" s="87" t="s">
        <v>104</v>
      </c>
    </row>
    <row r="445" spans="1:24" hidden="1">
      <c r="A445" s="91" t="s">
        <v>923</v>
      </c>
      <c r="B445" s="75"/>
      <c r="C445" s="75"/>
      <c r="D445" s="75"/>
      <c r="E445" s="75"/>
      <c r="F445" s="318"/>
      <c r="G445" s="407"/>
      <c r="H445" s="75"/>
      <c r="I445" s="412"/>
      <c r="J445" s="420"/>
      <c r="K445" s="75"/>
      <c r="L445" s="75"/>
      <c r="M445" s="75"/>
      <c r="N445" s="75"/>
      <c r="O445" s="102"/>
      <c r="P445" s="79"/>
      <c r="Q445" s="79"/>
      <c r="R445" s="79">
        <v>36</v>
      </c>
      <c r="S445" s="80" t="s">
        <v>820</v>
      </c>
      <c r="T445" s="104" t="s">
        <v>924</v>
      </c>
      <c r="U445" s="79" t="s">
        <v>925</v>
      </c>
      <c r="V445" s="79" t="s">
        <v>731</v>
      </c>
      <c r="W445" s="87" t="s">
        <v>106</v>
      </c>
      <c r="X445" s="87" t="s">
        <v>104</v>
      </c>
    </row>
    <row r="446" spans="1:24" ht="25.5" hidden="1">
      <c r="A446" s="91" t="s">
        <v>926</v>
      </c>
      <c r="B446" s="75"/>
      <c r="C446" s="75"/>
      <c r="D446" s="75"/>
      <c r="E446" s="75"/>
      <c r="F446" s="318"/>
      <c r="G446" s="407"/>
      <c r="H446" s="75"/>
      <c r="I446" s="412"/>
      <c r="J446" s="420"/>
      <c r="K446" s="75"/>
      <c r="L446" s="75"/>
      <c r="M446" s="75"/>
      <c r="N446" s="75"/>
      <c r="O446" s="102"/>
      <c r="P446" s="79"/>
      <c r="Q446" s="79"/>
      <c r="R446" s="79">
        <v>39</v>
      </c>
      <c r="S446" s="80" t="s">
        <v>820</v>
      </c>
      <c r="T446" s="104" t="s">
        <v>927</v>
      </c>
      <c r="U446" s="79" t="s">
        <v>928</v>
      </c>
      <c r="V446" s="79" t="s">
        <v>731</v>
      </c>
      <c r="W446" s="87" t="s">
        <v>106</v>
      </c>
      <c r="X446" s="87" t="s">
        <v>104</v>
      </c>
    </row>
    <row r="447" spans="1:24" hidden="1">
      <c r="A447" s="110"/>
      <c r="B447" s="111"/>
      <c r="C447" s="111"/>
      <c r="D447" s="111"/>
      <c r="E447" s="111"/>
      <c r="F447" s="318"/>
      <c r="G447" s="407"/>
      <c r="H447" s="111"/>
      <c r="I447" s="412"/>
      <c r="J447" s="420"/>
      <c r="K447" s="111"/>
      <c r="L447" s="111"/>
      <c r="M447" s="111"/>
      <c r="N447" s="111"/>
      <c r="O447" s="112"/>
      <c r="P447" s="79"/>
      <c r="Q447" s="79"/>
      <c r="R447" s="79"/>
      <c r="S447" s="113"/>
      <c r="T447" s="104"/>
      <c r="U447" s="79"/>
      <c r="V447" s="79"/>
      <c r="X447" s="87"/>
    </row>
    <row r="448" spans="1:24" ht="25.5" hidden="1">
      <c r="A448" s="91" t="s">
        <v>929</v>
      </c>
      <c r="B448" s="75"/>
      <c r="C448" s="75"/>
      <c r="D448" s="75"/>
      <c r="E448" s="75"/>
      <c r="F448" s="318"/>
      <c r="G448" s="407"/>
      <c r="H448" s="75"/>
      <c r="I448" s="412"/>
      <c r="J448" s="420"/>
      <c r="K448" s="75"/>
      <c r="L448" s="75"/>
      <c r="M448" s="75"/>
      <c r="N448" s="75"/>
      <c r="O448" s="102"/>
      <c r="P448" s="79"/>
      <c r="Q448" s="79"/>
      <c r="R448" s="79">
        <v>39</v>
      </c>
      <c r="S448" s="80" t="s">
        <v>930</v>
      </c>
      <c r="T448" s="104" t="s">
        <v>113</v>
      </c>
      <c r="U448" s="79" t="s">
        <v>931</v>
      </c>
      <c r="V448" s="79" t="s">
        <v>731</v>
      </c>
      <c r="W448" s="87" t="s">
        <v>106</v>
      </c>
      <c r="X448" s="87" t="s">
        <v>104</v>
      </c>
    </row>
    <row r="449" spans="1:24" hidden="1">
      <c r="A449" s="91" t="s">
        <v>932</v>
      </c>
      <c r="B449" s="75"/>
      <c r="C449" s="75"/>
      <c r="D449" s="75"/>
      <c r="E449" s="75"/>
      <c r="F449" s="318"/>
      <c r="G449" s="407"/>
      <c r="H449" s="75"/>
      <c r="I449" s="412"/>
      <c r="J449" s="420"/>
      <c r="K449" s="75"/>
      <c r="L449" s="75"/>
      <c r="M449" s="75"/>
      <c r="N449" s="75"/>
      <c r="O449" s="102"/>
      <c r="P449" s="79"/>
      <c r="Q449" s="79"/>
      <c r="R449" s="79">
        <v>39</v>
      </c>
      <c r="S449" s="80" t="s">
        <v>930</v>
      </c>
      <c r="T449" s="104" t="s">
        <v>113</v>
      </c>
      <c r="U449" s="79" t="s">
        <v>933</v>
      </c>
      <c r="V449" s="79" t="s">
        <v>731</v>
      </c>
      <c r="W449" s="87" t="s">
        <v>106</v>
      </c>
      <c r="X449" s="87" t="s">
        <v>104</v>
      </c>
    </row>
    <row r="450" spans="1:24" hidden="1">
      <c r="A450" s="91" t="s">
        <v>932</v>
      </c>
      <c r="B450" s="75"/>
      <c r="C450" s="75"/>
      <c r="D450" s="75"/>
      <c r="E450" s="75"/>
      <c r="F450" s="318"/>
      <c r="G450" s="407"/>
      <c r="H450" s="75"/>
      <c r="I450" s="412"/>
      <c r="J450" s="420"/>
      <c r="K450" s="75"/>
      <c r="L450" s="75"/>
      <c r="M450" s="75"/>
      <c r="N450" s="75"/>
      <c r="O450" s="102"/>
      <c r="P450" s="79"/>
      <c r="Q450" s="79"/>
      <c r="R450" s="79">
        <v>46</v>
      </c>
      <c r="S450" s="80" t="s">
        <v>930</v>
      </c>
      <c r="T450" s="104" t="s">
        <v>113</v>
      </c>
      <c r="U450" s="79" t="s">
        <v>934</v>
      </c>
      <c r="V450" s="79" t="s">
        <v>731</v>
      </c>
      <c r="W450" s="87" t="s">
        <v>106</v>
      </c>
      <c r="X450" s="87" t="s">
        <v>104</v>
      </c>
    </row>
    <row r="451" spans="1:24" ht="25.5" hidden="1">
      <c r="A451" s="91" t="s">
        <v>935</v>
      </c>
      <c r="B451" s="75"/>
      <c r="C451" s="75"/>
      <c r="D451" s="75"/>
      <c r="E451" s="75"/>
      <c r="F451" s="318"/>
      <c r="G451" s="407"/>
      <c r="H451" s="75"/>
      <c r="I451" s="412"/>
      <c r="J451" s="420"/>
      <c r="K451" s="75"/>
      <c r="L451" s="75"/>
      <c r="M451" s="75"/>
      <c r="N451" s="75"/>
      <c r="O451" s="102"/>
      <c r="P451" s="79"/>
      <c r="Q451" s="79"/>
      <c r="R451" s="79">
        <v>42</v>
      </c>
      <c r="S451" s="80" t="s">
        <v>930</v>
      </c>
      <c r="T451" s="104" t="s">
        <v>936</v>
      </c>
      <c r="U451" s="79" t="s">
        <v>937</v>
      </c>
      <c r="V451" s="79" t="s">
        <v>731</v>
      </c>
      <c r="W451" s="87" t="s">
        <v>106</v>
      </c>
      <c r="X451" s="87" t="s">
        <v>104</v>
      </c>
    </row>
    <row r="452" spans="1:24" ht="25.5" hidden="1">
      <c r="A452" s="91" t="s">
        <v>938</v>
      </c>
      <c r="B452" s="75"/>
      <c r="C452" s="75"/>
      <c r="D452" s="75"/>
      <c r="E452" s="75"/>
      <c r="F452" s="318"/>
      <c r="G452" s="407"/>
      <c r="H452" s="75"/>
      <c r="I452" s="412"/>
      <c r="J452" s="420"/>
      <c r="K452" s="75"/>
      <c r="L452" s="75"/>
      <c r="M452" s="75"/>
      <c r="N452" s="75"/>
      <c r="O452" s="102"/>
      <c r="P452" s="79"/>
      <c r="Q452" s="79"/>
      <c r="R452" s="79">
        <v>40</v>
      </c>
      <c r="S452" s="80" t="s">
        <v>930</v>
      </c>
      <c r="T452" s="104" t="s">
        <v>285</v>
      </c>
      <c r="U452" s="79" t="s">
        <v>939</v>
      </c>
      <c r="V452" s="79" t="s">
        <v>731</v>
      </c>
      <c r="W452" s="87" t="s">
        <v>106</v>
      </c>
      <c r="X452" s="87" t="s">
        <v>104</v>
      </c>
    </row>
    <row r="453" spans="1:24" hidden="1">
      <c r="A453" s="91" t="s">
        <v>940</v>
      </c>
      <c r="B453" s="75"/>
      <c r="C453" s="75"/>
      <c r="D453" s="75"/>
      <c r="E453" s="75"/>
      <c r="F453" s="318"/>
      <c r="G453" s="407"/>
      <c r="H453" s="75"/>
      <c r="I453" s="412"/>
      <c r="J453" s="420"/>
      <c r="K453" s="75"/>
      <c r="L453" s="75"/>
      <c r="M453" s="75"/>
      <c r="N453" s="75"/>
      <c r="O453" s="102"/>
      <c r="P453" s="79"/>
      <c r="Q453" s="79"/>
      <c r="R453" s="79">
        <v>40</v>
      </c>
      <c r="S453" s="80" t="s">
        <v>930</v>
      </c>
      <c r="T453" s="104" t="s">
        <v>285</v>
      </c>
      <c r="U453" s="79" t="s">
        <v>941</v>
      </c>
      <c r="V453" s="79" t="s">
        <v>731</v>
      </c>
      <c r="W453" s="87" t="s">
        <v>106</v>
      </c>
      <c r="X453" s="87" t="s">
        <v>104</v>
      </c>
    </row>
    <row r="454" spans="1:24" ht="25.5" hidden="1">
      <c r="A454" s="91" t="s">
        <v>942</v>
      </c>
      <c r="B454" s="75"/>
      <c r="C454" s="75"/>
      <c r="D454" s="75"/>
      <c r="E454" s="75"/>
      <c r="F454" s="318"/>
      <c r="G454" s="407"/>
      <c r="H454" s="75"/>
      <c r="I454" s="412"/>
      <c r="J454" s="420"/>
      <c r="K454" s="75"/>
      <c r="L454" s="75"/>
      <c r="M454" s="75"/>
      <c r="N454" s="75"/>
      <c r="O454" s="102"/>
      <c r="P454" s="79"/>
      <c r="Q454" s="79"/>
      <c r="R454" s="79">
        <v>40</v>
      </c>
      <c r="S454" s="80" t="s">
        <v>943</v>
      </c>
      <c r="T454" s="104" t="s">
        <v>285</v>
      </c>
      <c r="U454" s="79" t="s">
        <v>944</v>
      </c>
      <c r="V454" s="79" t="s">
        <v>731</v>
      </c>
      <c r="W454" s="87" t="s">
        <v>106</v>
      </c>
      <c r="X454" s="87" t="s">
        <v>104</v>
      </c>
    </row>
    <row r="455" spans="1:24" ht="25.5" hidden="1">
      <c r="A455" s="91" t="s">
        <v>945</v>
      </c>
      <c r="B455" s="75"/>
      <c r="C455" s="75"/>
      <c r="D455" s="75"/>
      <c r="E455" s="75"/>
      <c r="F455" s="318"/>
      <c r="G455" s="407"/>
      <c r="H455" s="75"/>
      <c r="I455" s="412"/>
      <c r="J455" s="420"/>
      <c r="K455" s="75"/>
      <c r="L455" s="75"/>
      <c r="M455" s="75"/>
      <c r="N455" s="75"/>
      <c r="O455" s="102"/>
      <c r="P455" s="79"/>
      <c r="Q455" s="79"/>
      <c r="R455" s="79">
        <v>41</v>
      </c>
      <c r="S455" s="80" t="s">
        <v>946</v>
      </c>
      <c r="T455" s="104" t="s">
        <v>285</v>
      </c>
      <c r="U455" s="79" t="s">
        <v>947</v>
      </c>
      <c r="V455" s="79" t="s">
        <v>731</v>
      </c>
      <c r="W455" s="87" t="s">
        <v>106</v>
      </c>
      <c r="X455" s="87" t="s">
        <v>104</v>
      </c>
    </row>
    <row r="456" spans="1:24" hidden="1">
      <c r="A456" s="110"/>
      <c r="B456" s="111"/>
      <c r="C456" s="111"/>
      <c r="D456" s="111"/>
      <c r="E456" s="111"/>
      <c r="F456" s="318"/>
      <c r="G456" s="407"/>
      <c r="H456" s="111"/>
      <c r="I456" s="412"/>
      <c r="J456" s="420"/>
      <c r="K456" s="111"/>
      <c r="L456" s="111"/>
      <c r="M456" s="111"/>
      <c r="N456" s="111"/>
      <c r="O456" s="112"/>
      <c r="P456" s="79"/>
      <c r="Q456" s="79"/>
      <c r="R456" s="79"/>
      <c r="S456" s="113"/>
      <c r="T456" s="104"/>
      <c r="U456" s="79"/>
      <c r="V456" s="79"/>
      <c r="W456" s="87"/>
      <c r="X456" s="87"/>
    </row>
    <row r="457" spans="1:24" hidden="1">
      <c r="A457" s="91" t="s">
        <v>948</v>
      </c>
      <c r="B457" s="75"/>
      <c r="C457" s="75"/>
      <c r="D457" s="75"/>
      <c r="E457" s="75"/>
      <c r="F457" s="318"/>
      <c r="G457" s="407"/>
      <c r="H457" s="75"/>
      <c r="I457" s="412"/>
      <c r="J457" s="420"/>
      <c r="K457" s="75"/>
      <c r="L457" s="75"/>
      <c r="M457" s="75"/>
      <c r="N457" s="75"/>
      <c r="O457" s="102"/>
      <c r="P457" s="79"/>
      <c r="Q457" s="79"/>
      <c r="R457" s="79">
        <v>40</v>
      </c>
      <c r="S457" s="80" t="s">
        <v>949</v>
      </c>
      <c r="T457" s="104" t="s">
        <v>113</v>
      </c>
      <c r="U457" s="79" t="s">
        <v>950</v>
      </c>
      <c r="V457" s="79" t="s">
        <v>731</v>
      </c>
      <c r="W457" s="87" t="s">
        <v>106</v>
      </c>
      <c r="X457" s="87" t="s">
        <v>104</v>
      </c>
    </row>
    <row r="458" spans="1:24" ht="25.5" hidden="1">
      <c r="A458" s="91" t="s">
        <v>951</v>
      </c>
      <c r="B458" s="75"/>
      <c r="C458" s="75"/>
      <c r="D458" s="75"/>
      <c r="E458" s="75"/>
      <c r="F458" s="318"/>
      <c r="G458" s="407"/>
      <c r="H458" s="75"/>
      <c r="I458" s="412"/>
      <c r="J458" s="420"/>
      <c r="K458" s="75"/>
      <c r="L458" s="75"/>
      <c r="M458" s="75"/>
      <c r="N458" s="75"/>
      <c r="O458" s="102"/>
      <c r="P458" s="79"/>
      <c r="Q458" s="79"/>
      <c r="R458" s="79">
        <v>44</v>
      </c>
      <c r="S458" s="80" t="s">
        <v>952</v>
      </c>
      <c r="T458" s="104" t="s">
        <v>113</v>
      </c>
      <c r="U458" s="79" t="s">
        <v>953</v>
      </c>
      <c r="V458" s="79" t="s">
        <v>731</v>
      </c>
      <c r="W458" s="87" t="s">
        <v>106</v>
      </c>
      <c r="X458" s="87" t="s">
        <v>104</v>
      </c>
    </row>
    <row r="459" spans="1:24" hidden="1">
      <c r="A459" s="91" t="s">
        <v>954</v>
      </c>
      <c r="B459" s="75"/>
      <c r="C459" s="75"/>
      <c r="D459" s="75"/>
      <c r="E459" s="75"/>
      <c r="F459" s="318"/>
      <c r="G459" s="407"/>
      <c r="H459" s="75"/>
      <c r="I459" s="412"/>
      <c r="J459" s="420"/>
      <c r="K459" s="75"/>
      <c r="L459" s="75"/>
      <c r="M459" s="75"/>
      <c r="N459" s="75"/>
      <c r="O459" s="102"/>
      <c r="P459" s="79"/>
      <c r="Q459" s="79"/>
      <c r="R459" s="79">
        <v>40</v>
      </c>
      <c r="S459" s="80" t="s">
        <v>955</v>
      </c>
      <c r="T459" s="104" t="s">
        <v>113</v>
      </c>
      <c r="U459" s="79" t="s">
        <v>956</v>
      </c>
      <c r="V459" s="79" t="s">
        <v>731</v>
      </c>
      <c r="W459" s="87" t="s">
        <v>106</v>
      </c>
      <c r="X459" s="87" t="s">
        <v>104</v>
      </c>
    </row>
    <row r="460" spans="1:24" ht="25.5" hidden="1">
      <c r="A460" s="91" t="s">
        <v>957</v>
      </c>
      <c r="B460" s="75"/>
      <c r="C460" s="75"/>
      <c r="D460" s="75"/>
      <c r="E460" s="75"/>
      <c r="F460" s="318"/>
      <c r="G460" s="407"/>
      <c r="H460" s="75"/>
      <c r="I460" s="412"/>
      <c r="J460" s="420"/>
      <c r="K460" s="75"/>
      <c r="L460" s="75"/>
      <c r="M460" s="75"/>
      <c r="N460" s="75"/>
      <c r="O460" s="102"/>
      <c r="P460" s="79"/>
      <c r="Q460" s="79"/>
      <c r="R460" s="79">
        <v>36</v>
      </c>
      <c r="S460" s="80" t="s">
        <v>955</v>
      </c>
      <c r="T460" s="104" t="s">
        <v>113</v>
      </c>
      <c r="U460" s="79" t="s">
        <v>958</v>
      </c>
      <c r="V460" s="79" t="s">
        <v>731</v>
      </c>
      <c r="W460" s="87" t="s">
        <v>106</v>
      </c>
      <c r="X460" s="87" t="s">
        <v>104</v>
      </c>
    </row>
    <row r="461" spans="1:24" hidden="1">
      <c r="A461" s="91" t="s">
        <v>959</v>
      </c>
      <c r="B461" s="75"/>
      <c r="C461" s="75"/>
      <c r="D461" s="75"/>
      <c r="E461" s="75"/>
      <c r="F461" s="318"/>
      <c r="G461" s="407"/>
      <c r="H461" s="75"/>
      <c r="I461" s="412"/>
      <c r="J461" s="420"/>
      <c r="K461" s="75"/>
      <c r="L461" s="75"/>
      <c r="M461" s="75"/>
      <c r="N461" s="75"/>
      <c r="O461" s="102"/>
      <c r="P461" s="79"/>
      <c r="Q461" s="79"/>
      <c r="R461" s="79">
        <v>40</v>
      </c>
      <c r="S461" s="80" t="s">
        <v>955</v>
      </c>
      <c r="T461" s="104" t="s">
        <v>113</v>
      </c>
      <c r="U461" s="79" t="s">
        <v>960</v>
      </c>
      <c r="V461" s="79" t="s">
        <v>731</v>
      </c>
      <c r="W461" s="87" t="s">
        <v>106</v>
      </c>
      <c r="X461" s="87" t="s">
        <v>104</v>
      </c>
    </row>
    <row r="462" spans="1:24" ht="25.5" hidden="1">
      <c r="A462" s="91" t="s">
        <v>961</v>
      </c>
      <c r="B462" s="75"/>
      <c r="C462" s="75"/>
      <c r="D462" s="75"/>
      <c r="E462" s="75"/>
      <c r="F462" s="318"/>
      <c r="G462" s="407"/>
      <c r="H462" s="75"/>
      <c r="I462" s="412"/>
      <c r="J462" s="420"/>
      <c r="K462" s="75"/>
      <c r="L462" s="75"/>
      <c r="M462" s="75"/>
      <c r="N462" s="75"/>
      <c r="O462" s="102"/>
      <c r="P462" s="79"/>
      <c r="Q462" s="79"/>
      <c r="R462" s="79">
        <v>38</v>
      </c>
      <c r="S462" s="80" t="s">
        <v>955</v>
      </c>
      <c r="T462" s="104" t="s">
        <v>113</v>
      </c>
      <c r="U462" s="79" t="s">
        <v>962</v>
      </c>
      <c r="V462" s="79" t="s">
        <v>731</v>
      </c>
      <c r="W462" s="87" t="s">
        <v>106</v>
      </c>
      <c r="X462" s="87" t="s">
        <v>104</v>
      </c>
    </row>
    <row r="463" spans="1:24" hidden="1">
      <c r="A463" s="91" t="s">
        <v>963</v>
      </c>
      <c r="B463" s="75"/>
      <c r="C463" s="75"/>
      <c r="D463" s="75"/>
      <c r="E463" s="75"/>
      <c r="F463" s="318"/>
      <c r="G463" s="407"/>
      <c r="H463" s="75"/>
      <c r="I463" s="412"/>
      <c r="J463" s="420"/>
      <c r="K463" s="75"/>
      <c r="L463" s="75"/>
      <c r="M463" s="75"/>
      <c r="N463" s="75"/>
      <c r="O463" s="102"/>
      <c r="P463" s="79"/>
      <c r="Q463" s="79"/>
      <c r="R463" s="79">
        <v>44</v>
      </c>
      <c r="S463" s="80" t="s">
        <v>955</v>
      </c>
      <c r="T463" s="104" t="s">
        <v>113</v>
      </c>
      <c r="U463" s="79" t="s">
        <v>964</v>
      </c>
      <c r="V463" s="79" t="s">
        <v>731</v>
      </c>
      <c r="W463" s="87" t="s">
        <v>106</v>
      </c>
      <c r="X463" s="87" t="s">
        <v>104</v>
      </c>
    </row>
    <row r="464" spans="1:24" ht="25.5" hidden="1">
      <c r="A464" s="91" t="s">
        <v>965</v>
      </c>
      <c r="B464" s="75"/>
      <c r="C464" s="75"/>
      <c r="D464" s="75"/>
      <c r="E464" s="75"/>
      <c r="F464" s="318"/>
      <c r="G464" s="407"/>
      <c r="H464" s="75"/>
      <c r="I464" s="412"/>
      <c r="J464" s="420"/>
      <c r="K464" s="75"/>
      <c r="L464" s="75"/>
      <c r="M464" s="75"/>
      <c r="N464" s="75"/>
      <c r="O464" s="102"/>
      <c r="P464" s="79"/>
      <c r="Q464" s="79"/>
      <c r="R464" s="79">
        <v>42</v>
      </c>
      <c r="S464" s="80" t="s">
        <v>955</v>
      </c>
      <c r="T464" s="104" t="s">
        <v>113</v>
      </c>
      <c r="U464" s="79" t="s">
        <v>966</v>
      </c>
      <c r="V464" s="79" t="s">
        <v>731</v>
      </c>
      <c r="W464" s="87" t="s">
        <v>106</v>
      </c>
      <c r="X464" s="87" t="s">
        <v>104</v>
      </c>
    </row>
    <row r="465" spans="1:24" hidden="1">
      <c r="A465" s="91" t="s">
        <v>967</v>
      </c>
      <c r="B465" s="75"/>
      <c r="C465" s="75"/>
      <c r="D465" s="75"/>
      <c r="E465" s="75"/>
      <c r="F465" s="318"/>
      <c r="G465" s="407"/>
      <c r="H465" s="75"/>
      <c r="I465" s="412"/>
      <c r="J465" s="420"/>
      <c r="K465" s="75"/>
      <c r="L465" s="75"/>
      <c r="M465" s="75"/>
      <c r="N465" s="75"/>
      <c r="O465" s="102"/>
      <c r="P465" s="79"/>
      <c r="Q465" s="79"/>
      <c r="R465" s="79">
        <v>43</v>
      </c>
      <c r="S465" s="80" t="s">
        <v>955</v>
      </c>
      <c r="T465" s="104" t="s">
        <v>113</v>
      </c>
      <c r="U465" s="79" t="s">
        <v>968</v>
      </c>
      <c r="V465" s="79" t="s">
        <v>731</v>
      </c>
      <c r="W465" s="87" t="s">
        <v>106</v>
      </c>
      <c r="X465" s="87" t="s">
        <v>104</v>
      </c>
    </row>
    <row r="466" spans="1:24" ht="25.5" hidden="1">
      <c r="A466" s="91" t="s">
        <v>969</v>
      </c>
      <c r="B466" s="75"/>
      <c r="C466" s="75"/>
      <c r="D466" s="75"/>
      <c r="E466" s="75"/>
      <c r="F466" s="318"/>
      <c r="G466" s="407"/>
      <c r="H466" s="75"/>
      <c r="I466" s="412"/>
      <c r="J466" s="420"/>
      <c r="K466" s="75"/>
      <c r="L466" s="75"/>
      <c r="M466" s="75"/>
      <c r="N466" s="75"/>
      <c r="O466" s="102"/>
      <c r="P466" s="79"/>
      <c r="Q466" s="79"/>
      <c r="R466" s="79">
        <v>42</v>
      </c>
      <c r="S466" s="80" t="s">
        <v>955</v>
      </c>
      <c r="T466" s="104" t="s">
        <v>113</v>
      </c>
      <c r="U466" s="79" t="s">
        <v>970</v>
      </c>
      <c r="V466" s="79" t="s">
        <v>731</v>
      </c>
      <c r="W466" s="87" t="s">
        <v>106</v>
      </c>
      <c r="X466" s="87" t="s">
        <v>104</v>
      </c>
    </row>
    <row r="467" spans="1:24" hidden="1">
      <c r="A467" s="91" t="s">
        <v>971</v>
      </c>
      <c r="B467" s="75"/>
      <c r="C467" s="75"/>
      <c r="D467" s="75"/>
      <c r="E467" s="75"/>
      <c r="F467" s="318"/>
      <c r="G467" s="407"/>
      <c r="H467" s="75"/>
      <c r="I467" s="412"/>
      <c r="J467" s="420"/>
      <c r="K467" s="75"/>
      <c r="L467" s="75"/>
      <c r="M467" s="75"/>
      <c r="N467" s="75"/>
      <c r="O467" s="102"/>
      <c r="P467" s="79"/>
      <c r="Q467" s="79"/>
      <c r="R467" s="79">
        <v>42</v>
      </c>
      <c r="S467" s="80" t="s">
        <v>955</v>
      </c>
      <c r="T467" s="104" t="s">
        <v>113</v>
      </c>
      <c r="U467" s="79" t="s">
        <v>972</v>
      </c>
      <c r="V467" s="79" t="s">
        <v>731</v>
      </c>
      <c r="W467" s="87" t="s">
        <v>106</v>
      </c>
      <c r="X467" s="87" t="s">
        <v>104</v>
      </c>
    </row>
    <row r="468" spans="1:24" hidden="1">
      <c r="A468" s="91" t="s">
        <v>973</v>
      </c>
      <c r="B468" s="75"/>
      <c r="C468" s="75"/>
      <c r="D468" s="75"/>
      <c r="E468" s="75"/>
      <c r="F468" s="318"/>
      <c r="G468" s="407"/>
      <c r="H468" s="75"/>
      <c r="I468" s="412"/>
      <c r="J468" s="420"/>
      <c r="K468" s="75"/>
      <c r="L468" s="75"/>
      <c r="M468" s="75"/>
      <c r="N468" s="75"/>
      <c r="O468" s="102"/>
      <c r="P468" s="79"/>
      <c r="Q468" s="79"/>
      <c r="R468" s="79">
        <v>44</v>
      </c>
      <c r="S468" s="80" t="s">
        <v>955</v>
      </c>
      <c r="T468" s="104" t="s">
        <v>113</v>
      </c>
      <c r="U468" s="79" t="s">
        <v>974</v>
      </c>
      <c r="V468" s="79" t="s">
        <v>731</v>
      </c>
      <c r="W468" s="87" t="s">
        <v>106</v>
      </c>
      <c r="X468" s="87" t="s">
        <v>104</v>
      </c>
    </row>
    <row r="469" spans="1:24" hidden="1">
      <c r="A469" s="91" t="s">
        <v>973</v>
      </c>
      <c r="B469" s="75"/>
      <c r="C469" s="75"/>
      <c r="D469" s="75"/>
      <c r="E469" s="75"/>
      <c r="F469" s="318"/>
      <c r="G469" s="407"/>
      <c r="H469" s="75"/>
      <c r="I469" s="412"/>
      <c r="J469" s="420"/>
      <c r="K469" s="75"/>
      <c r="L469" s="75"/>
      <c r="M469" s="75"/>
      <c r="N469" s="75"/>
      <c r="O469" s="102"/>
      <c r="P469" s="79"/>
      <c r="Q469" s="79"/>
      <c r="R469" s="79">
        <v>40</v>
      </c>
      <c r="S469" s="80" t="s">
        <v>955</v>
      </c>
      <c r="T469" s="104" t="s">
        <v>113</v>
      </c>
      <c r="U469" s="79" t="s">
        <v>975</v>
      </c>
      <c r="V469" s="79" t="s">
        <v>731</v>
      </c>
      <c r="W469" s="87" t="s">
        <v>106</v>
      </c>
      <c r="X469" s="87" t="s">
        <v>104</v>
      </c>
    </row>
    <row r="470" spans="1:24" hidden="1">
      <c r="A470" s="91" t="s">
        <v>976</v>
      </c>
      <c r="B470" s="75"/>
      <c r="C470" s="75"/>
      <c r="D470" s="75"/>
      <c r="E470" s="75"/>
      <c r="F470" s="318"/>
      <c r="G470" s="407"/>
      <c r="H470" s="75"/>
      <c r="I470" s="412"/>
      <c r="J470" s="420"/>
      <c r="K470" s="75"/>
      <c r="L470" s="75"/>
      <c r="M470" s="75"/>
      <c r="N470" s="75"/>
      <c r="O470" s="102"/>
      <c r="P470" s="79"/>
      <c r="Q470" s="79"/>
      <c r="R470" s="79">
        <v>42</v>
      </c>
      <c r="S470" s="80" t="s">
        <v>955</v>
      </c>
      <c r="T470" s="104" t="s">
        <v>113</v>
      </c>
      <c r="U470" s="79" t="s">
        <v>977</v>
      </c>
      <c r="V470" s="79" t="s">
        <v>731</v>
      </c>
      <c r="W470" s="87" t="s">
        <v>106</v>
      </c>
      <c r="X470" s="87" t="s">
        <v>104</v>
      </c>
    </row>
    <row r="471" spans="1:24" hidden="1">
      <c r="A471" s="91" t="s">
        <v>976</v>
      </c>
      <c r="B471" s="75"/>
      <c r="C471" s="75"/>
      <c r="D471" s="75"/>
      <c r="E471" s="75"/>
      <c r="F471" s="318"/>
      <c r="G471" s="407"/>
      <c r="H471" s="75"/>
      <c r="I471" s="412"/>
      <c r="J471" s="420"/>
      <c r="K471" s="75"/>
      <c r="L471" s="75"/>
      <c r="M471" s="75"/>
      <c r="N471" s="75"/>
      <c r="O471" s="102"/>
      <c r="P471" s="79"/>
      <c r="Q471" s="79"/>
      <c r="R471" s="79">
        <v>40</v>
      </c>
      <c r="S471" s="80" t="s">
        <v>955</v>
      </c>
      <c r="T471" s="104" t="s">
        <v>113</v>
      </c>
      <c r="U471" s="79" t="s">
        <v>978</v>
      </c>
      <c r="V471" s="79" t="s">
        <v>731</v>
      </c>
      <c r="W471" s="87" t="s">
        <v>106</v>
      </c>
      <c r="X471" s="87" t="s">
        <v>104</v>
      </c>
    </row>
    <row r="472" spans="1:24" hidden="1">
      <c r="A472" s="91" t="s">
        <v>979</v>
      </c>
      <c r="B472" s="75"/>
      <c r="C472" s="75"/>
      <c r="D472" s="75"/>
      <c r="E472" s="75"/>
      <c r="F472" s="318"/>
      <c r="G472" s="407"/>
      <c r="H472" s="75"/>
      <c r="I472" s="412"/>
      <c r="J472" s="420"/>
      <c r="K472" s="75"/>
      <c r="L472" s="75"/>
      <c r="M472" s="75"/>
      <c r="N472" s="75"/>
      <c r="O472" s="102"/>
      <c r="P472" s="79"/>
      <c r="Q472" s="79"/>
      <c r="R472" s="79">
        <v>44</v>
      </c>
      <c r="S472" s="80" t="s">
        <v>955</v>
      </c>
      <c r="T472" s="104" t="s">
        <v>113</v>
      </c>
      <c r="U472" s="79" t="s">
        <v>980</v>
      </c>
      <c r="V472" s="79" t="s">
        <v>731</v>
      </c>
      <c r="W472" s="87" t="s">
        <v>106</v>
      </c>
      <c r="X472" s="87" t="s">
        <v>104</v>
      </c>
    </row>
    <row r="473" spans="1:24" ht="25.5" hidden="1">
      <c r="A473" s="91" t="s">
        <v>981</v>
      </c>
      <c r="B473" s="75"/>
      <c r="C473" s="75"/>
      <c r="D473" s="75"/>
      <c r="E473" s="75"/>
      <c r="F473" s="318"/>
      <c r="G473" s="407"/>
      <c r="H473" s="75"/>
      <c r="I473" s="412"/>
      <c r="J473" s="420"/>
      <c r="K473" s="75"/>
      <c r="L473" s="75"/>
      <c r="M473" s="75"/>
      <c r="N473" s="75"/>
      <c r="O473" s="102"/>
      <c r="P473" s="79"/>
      <c r="Q473" s="79"/>
      <c r="R473" s="79">
        <v>42</v>
      </c>
      <c r="S473" s="80" t="s">
        <v>955</v>
      </c>
      <c r="T473" s="104" t="s">
        <v>113</v>
      </c>
      <c r="U473" s="79" t="s">
        <v>982</v>
      </c>
      <c r="V473" s="79" t="s">
        <v>731</v>
      </c>
      <c r="W473" s="87" t="s">
        <v>106</v>
      </c>
      <c r="X473" s="87" t="s">
        <v>104</v>
      </c>
    </row>
    <row r="474" spans="1:24" hidden="1">
      <c r="A474" s="91" t="s">
        <v>983</v>
      </c>
      <c r="B474" s="75"/>
      <c r="C474" s="75"/>
      <c r="D474" s="75"/>
      <c r="E474" s="75"/>
      <c r="F474" s="318"/>
      <c r="G474" s="407"/>
      <c r="H474" s="75"/>
      <c r="I474" s="412"/>
      <c r="J474" s="420"/>
      <c r="K474" s="75"/>
      <c r="L474" s="75"/>
      <c r="M474" s="75"/>
      <c r="N474" s="75"/>
      <c r="O474" s="102"/>
      <c r="P474" s="79"/>
      <c r="Q474" s="79"/>
      <c r="R474" s="79">
        <v>40</v>
      </c>
      <c r="S474" s="80" t="s">
        <v>955</v>
      </c>
      <c r="T474" s="104" t="s">
        <v>113</v>
      </c>
      <c r="U474" s="79" t="s">
        <v>984</v>
      </c>
      <c r="V474" s="79" t="s">
        <v>731</v>
      </c>
      <c r="W474" s="87" t="s">
        <v>106</v>
      </c>
      <c r="X474" s="87" t="s">
        <v>104</v>
      </c>
    </row>
    <row r="475" spans="1:24" hidden="1">
      <c r="A475" s="91" t="s">
        <v>983</v>
      </c>
      <c r="B475" s="75"/>
      <c r="C475" s="75"/>
      <c r="D475" s="75"/>
      <c r="E475" s="75"/>
      <c r="F475" s="318"/>
      <c r="G475" s="407"/>
      <c r="H475" s="75"/>
      <c r="I475" s="412"/>
      <c r="J475" s="420"/>
      <c r="K475" s="75"/>
      <c r="L475" s="75"/>
      <c r="M475" s="75"/>
      <c r="N475" s="75"/>
      <c r="O475" s="102"/>
      <c r="P475" s="79"/>
      <c r="Q475" s="79"/>
      <c r="R475" s="79">
        <v>38</v>
      </c>
      <c r="S475" s="80" t="s">
        <v>955</v>
      </c>
      <c r="T475" s="104" t="s">
        <v>113</v>
      </c>
      <c r="U475" s="79" t="s">
        <v>985</v>
      </c>
      <c r="V475" s="79" t="s">
        <v>731</v>
      </c>
      <c r="W475" s="87" t="s">
        <v>106</v>
      </c>
      <c r="X475" s="87" t="s">
        <v>104</v>
      </c>
    </row>
    <row r="476" spans="1:24" hidden="1">
      <c r="A476" s="91" t="s">
        <v>986</v>
      </c>
      <c r="B476" s="75"/>
      <c r="C476" s="75"/>
      <c r="D476" s="75"/>
      <c r="E476" s="75"/>
      <c r="F476" s="318"/>
      <c r="G476" s="407"/>
      <c r="H476" s="75"/>
      <c r="I476" s="412"/>
      <c r="J476" s="420"/>
      <c r="K476" s="75"/>
      <c r="L476" s="75"/>
      <c r="M476" s="75"/>
      <c r="N476" s="75"/>
      <c r="O476" s="102"/>
      <c r="P476" s="79"/>
      <c r="Q476" s="79"/>
      <c r="R476" s="79">
        <v>40</v>
      </c>
      <c r="S476" s="80" t="s">
        <v>955</v>
      </c>
      <c r="T476" s="104" t="s">
        <v>113</v>
      </c>
      <c r="U476" s="79" t="s">
        <v>987</v>
      </c>
      <c r="V476" s="79" t="s">
        <v>731</v>
      </c>
      <c r="W476" s="87" t="s">
        <v>106</v>
      </c>
      <c r="X476" s="87" t="s">
        <v>104</v>
      </c>
    </row>
    <row r="477" spans="1:24" hidden="1">
      <c r="A477" s="91" t="s">
        <v>986</v>
      </c>
      <c r="B477" s="75"/>
      <c r="C477" s="75"/>
      <c r="D477" s="75"/>
      <c r="E477" s="75"/>
      <c r="F477" s="318"/>
      <c r="G477" s="407"/>
      <c r="H477" s="75"/>
      <c r="I477" s="412"/>
      <c r="J477" s="420"/>
      <c r="K477" s="75"/>
      <c r="L477" s="75"/>
      <c r="M477" s="75"/>
      <c r="N477" s="75"/>
      <c r="O477" s="102"/>
      <c r="P477" s="79"/>
      <c r="Q477" s="79"/>
      <c r="R477" s="79">
        <v>37</v>
      </c>
      <c r="S477" s="80" t="s">
        <v>955</v>
      </c>
      <c r="T477" s="104" t="s">
        <v>113</v>
      </c>
      <c r="U477" s="79" t="s">
        <v>988</v>
      </c>
      <c r="V477" s="79" t="s">
        <v>731</v>
      </c>
      <c r="W477" s="87" t="s">
        <v>106</v>
      </c>
      <c r="X477" s="87" t="s">
        <v>104</v>
      </c>
    </row>
    <row r="478" spans="1:24" ht="25.5" hidden="1">
      <c r="A478" s="91" t="s">
        <v>989</v>
      </c>
      <c r="B478" s="75"/>
      <c r="C478" s="75"/>
      <c r="D478" s="75"/>
      <c r="E478" s="75"/>
      <c r="F478" s="318"/>
      <c r="G478" s="407"/>
      <c r="H478" s="75"/>
      <c r="I478" s="412"/>
      <c r="J478" s="420"/>
      <c r="K478" s="75"/>
      <c r="L478" s="75"/>
      <c r="M478" s="75"/>
      <c r="N478" s="75"/>
      <c r="O478" s="102"/>
      <c r="P478" s="79"/>
      <c r="Q478" s="79"/>
      <c r="R478" s="79">
        <v>43</v>
      </c>
      <c r="S478" s="80" t="s">
        <v>990</v>
      </c>
      <c r="T478" s="104" t="s">
        <v>113</v>
      </c>
      <c r="U478" s="79" t="s">
        <v>991</v>
      </c>
      <c r="V478" s="79" t="s">
        <v>731</v>
      </c>
      <c r="W478" s="87" t="s">
        <v>106</v>
      </c>
      <c r="X478" s="87" t="s">
        <v>104</v>
      </c>
    </row>
    <row r="479" spans="1:24" ht="25.5" hidden="1">
      <c r="A479" s="74" t="s">
        <v>992</v>
      </c>
      <c r="B479" s="75"/>
      <c r="C479" s="75"/>
      <c r="D479" s="75"/>
      <c r="E479" s="75"/>
      <c r="F479" s="318"/>
      <c r="G479" s="407"/>
      <c r="H479" s="75"/>
      <c r="I479" s="412"/>
      <c r="J479" s="420"/>
      <c r="K479" s="75"/>
      <c r="L479" s="75"/>
      <c r="M479" s="75"/>
      <c r="N479" s="75"/>
      <c r="O479" s="102"/>
      <c r="P479" s="79"/>
      <c r="Q479" s="79"/>
      <c r="R479" s="79">
        <v>40</v>
      </c>
      <c r="S479" s="80" t="s">
        <v>770</v>
      </c>
      <c r="T479" s="104" t="s">
        <v>113</v>
      </c>
      <c r="U479" s="79" t="s">
        <v>993</v>
      </c>
      <c r="V479" s="79" t="s">
        <v>731</v>
      </c>
      <c r="W479" s="87" t="s">
        <v>106</v>
      </c>
      <c r="X479" s="87" t="s">
        <v>104</v>
      </c>
    </row>
    <row r="480" spans="1:24" ht="25.5" hidden="1">
      <c r="A480" s="74" t="s">
        <v>994</v>
      </c>
      <c r="B480" s="75"/>
      <c r="C480" s="75"/>
      <c r="D480" s="75"/>
      <c r="E480" s="75"/>
      <c r="F480" s="318"/>
      <c r="G480" s="407"/>
      <c r="H480" s="75"/>
      <c r="I480" s="412"/>
      <c r="J480" s="420"/>
      <c r="K480" s="75"/>
      <c r="L480" s="75"/>
      <c r="M480" s="75"/>
      <c r="N480" s="75"/>
      <c r="O480" s="102"/>
      <c r="P480" s="79"/>
      <c r="Q480" s="79"/>
      <c r="R480" s="79">
        <v>44</v>
      </c>
      <c r="S480" s="80" t="s">
        <v>995</v>
      </c>
      <c r="T480" s="104" t="s">
        <v>113</v>
      </c>
      <c r="U480" s="79" t="s">
        <v>996</v>
      </c>
      <c r="V480" s="79" t="s">
        <v>731</v>
      </c>
      <c r="W480" s="87" t="s">
        <v>106</v>
      </c>
      <c r="X480" s="87" t="s">
        <v>104</v>
      </c>
    </row>
    <row r="481" spans="1:24" hidden="1">
      <c r="A481" s="74" t="s">
        <v>997</v>
      </c>
      <c r="B481" s="75"/>
      <c r="C481" s="75"/>
      <c r="D481" s="75"/>
      <c r="E481" s="75"/>
      <c r="F481" s="318"/>
      <c r="G481" s="407"/>
      <c r="H481" s="75"/>
      <c r="I481" s="412"/>
      <c r="J481" s="420"/>
      <c r="K481" s="75"/>
      <c r="L481" s="75"/>
      <c r="M481" s="75"/>
      <c r="N481" s="75"/>
      <c r="O481" s="102"/>
      <c r="P481" s="79"/>
      <c r="Q481" s="79"/>
      <c r="R481" s="79">
        <v>42</v>
      </c>
      <c r="S481" s="80" t="s">
        <v>998</v>
      </c>
      <c r="T481" s="104" t="s">
        <v>113</v>
      </c>
      <c r="U481" s="79" t="s">
        <v>999</v>
      </c>
      <c r="V481" s="79" t="s">
        <v>731</v>
      </c>
      <c r="W481" s="87" t="s">
        <v>106</v>
      </c>
      <c r="X481" s="87" t="s">
        <v>104</v>
      </c>
    </row>
    <row r="482" spans="1:24" ht="25.5" hidden="1">
      <c r="A482" s="74" t="s">
        <v>1000</v>
      </c>
      <c r="B482" s="75"/>
      <c r="C482" s="75"/>
      <c r="D482" s="75"/>
      <c r="E482" s="75"/>
      <c r="F482" s="318"/>
      <c r="G482" s="407"/>
      <c r="H482" s="75"/>
      <c r="I482" s="412"/>
      <c r="J482" s="420"/>
      <c r="K482" s="75"/>
      <c r="L482" s="75"/>
      <c r="M482" s="75"/>
      <c r="N482" s="75"/>
      <c r="O482" s="102"/>
      <c r="P482" s="79"/>
      <c r="Q482" s="79"/>
      <c r="R482" s="79">
        <v>42</v>
      </c>
      <c r="S482" s="80" t="s">
        <v>998</v>
      </c>
      <c r="T482" s="104" t="s">
        <v>113</v>
      </c>
      <c r="U482" s="79" t="s">
        <v>1001</v>
      </c>
      <c r="V482" s="79" t="s">
        <v>731</v>
      </c>
      <c r="W482" s="87" t="s">
        <v>106</v>
      </c>
      <c r="X482" s="87" t="s">
        <v>104</v>
      </c>
    </row>
    <row r="483" spans="1:24" hidden="1">
      <c r="A483" s="91" t="s">
        <v>1002</v>
      </c>
      <c r="B483" s="75"/>
      <c r="C483" s="75"/>
      <c r="D483" s="75"/>
      <c r="E483" s="75"/>
      <c r="F483" s="318"/>
      <c r="G483" s="407"/>
      <c r="H483" s="75"/>
      <c r="I483" s="412"/>
      <c r="J483" s="420"/>
      <c r="K483" s="75"/>
      <c r="L483" s="75"/>
      <c r="M483" s="75"/>
      <c r="N483" s="75"/>
      <c r="O483" s="102"/>
      <c r="P483" s="79"/>
      <c r="Q483" s="79"/>
      <c r="R483" s="79">
        <v>40</v>
      </c>
      <c r="S483" s="80" t="s">
        <v>998</v>
      </c>
      <c r="T483" s="104" t="s">
        <v>113</v>
      </c>
      <c r="U483" s="79" t="s">
        <v>1003</v>
      </c>
      <c r="V483" s="79" t="s">
        <v>731</v>
      </c>
      <c r="W483" s="87" t="s">
        <v>106</v>
      </c>
      <c r="X483" s="87" t="s">
        <v>104</v>
      </c>
    </row>
    <row r="484" spans="1:24" hidden="1">
      <c r="A484" s="91" t="s">
        <v>1002</v>
      </c>
      <c r="B484" s="75"/>
      <c r="C484" s="75"/>
      <c r="D484" s="75"/>
      <c r="E484" s="75"/>
      <c r="F484" s="318"/>
      <c r="G484" s="407"/>
      <c r="H484" s="75"/>
      <c r="I484" s="412"/>
      <c r="J484" s="420"/>
      <c r="K484" s="75"/>
      <c r="L484" s="75"/>
      <c r="M484" s="75"/>
      <c r="N484" s="75"/>
      <c r="O484" s="102"/>
      <c r="P484" s="79"/>
      <c r="Q484" s="79"/>
      <c r="R484" s="79">
        <v>40</v>
      </c>
      <c r="S484" s="80" t="s">
        <v>998</v>
      </c>
      <c r="T484" s="104" t="s">
        <v>113</v>
      </c>
      <c r="U484" s="79" t="s">
        <v>1004</v>
      </c>
      <c r="V484" s="79" t="s">
        <v>731</v>
      </c>
      <c r="W484" s="87" t="s">
        <v>106</v>
      </c>
      <c r="X484" s="87" t="s">
        <v>104</v>
      </c>
    </row>
    <row r="485" spans="1:24" hidden="1">
      <c r="A485" s="91" t="s">
        <v>1005</v>
      </c>
      <c r="B485" s="75"/>
      <c r="C485" s="75"/>
      <c r="D485" s="75"/>
      <c r="E485" s="75"/>
      <c r="F485" s="318"/>
      <c r="G485" s="407"/>
      <c r="H485" s="75"/>
      <c r="I485" s="412"/>
      <c r="J485" s="420"/>
      <c r="K485" s="75"/>
      <c r="L485" s="75"/>
      <c r="M485" s="75"/>
      <c r="N485" s="75"/>
      <c r="O485" s="102"/>
      <c r="P485" s="79"/>
      <c r="Q485" s="79"/>
      <c r="R485" s="79">
        <v>42</v>
      </c>
      <c r="S485" s="80" t="s">
        <v>998</v>
      </c>
      <c r="T485" s="104" t="s">
        <v>113</v>
      </c>
      <c r="U485" s="79" t="s">
        <v>1006</v>
      </c>
      <c r="V485" s="79" t="s">
        <v>731</v>
      </c>
      <c r="W485" s="87" t="s">
        <v>106</v>
      </c>
      <c r="X485" s="87" t="s">
        <v>104</v>
      </c>
    </row>
    <row r="486" spans="1:24" hidden="1">
      <c r="A486" s="91" t="s">
        <v>1005</v>
      </c>
      <c r="B486" s="75"/>
      <c r="C486" s="75"/>
      <c r="D486" s="75"/>
      <c r="E486" s="75"/>
      <c r="F486" s="318"/>
      <c r="G486" s="407"/>
      <c r="H486" s="75"/>
      <c r="I486" s="412"/>
      <c r="J486" s="420"/>
      <c r="K486" s="75"/>
      <c r="L486" s="75"/>
      <c r="M486" s="75"/>
      <c r="N486" s="75"/>
      <c r="O486" s="102"/>
      <c r="P486" s="79"/>
      <c r="Q486" s="79"/>
      <c r="R486" s="79">
        <v>42</v>
      </c>
      <c r="S486" s="80" t="s">
        <v>998</v>
      </c>
      <c r="T486" s="104" t="s">
        <v>113</v>
      </c>
      <c r="U486" s="79" t="s">
        <v>1007</v>
      </c>
      <c r="V486" s="79" t="s">
        <v>731</v>
      </c>
      <c r="W486" s="87" t="s">
        <v>106</v>
      </c>
      <c r="X486" s="87" t="s">
        <v>104</v>
      </c>
    </row>
    <row r="487" spans="1:24" hidden="1">
      <c r="A487" s="91" t="s">
        <v>1008</v>
      </c>
      <c r="B487" s="75"/>
      <c r="C487" s="75"/>
      <c r="D487" s="75"/>
      <c r="E487" s="75"/>
      <c r="F487" s="318"/>
      <c r="G487" s="407"/>
      <c r="H487" s="75"/>
      <c r="I487" s="412"/>
      <c r="J487" s="420"/>
      <c r="K487" s="75"/>
      <c r="L487" s="75"/>
      <c r="M487" s="75"/>
      <c r="N487" s="75"/>
      <c r="O487" s="102"/>
      <c r="P487" s="79"/>
      <c r="Q487" s="79"/>
      <c r="R487" s="79">
        <v>40</v>
      </c>
      <c r="S487" s="80" t="s">
        <v>998</v>
      </c>
      <c r="T487" s="104" t="s">
        <v>113</v>
      </c>
      <c r="U487" s="79" t="s">
        <v>1009</v>
      </c>
      <c r="V487" s="79" t="s">
        <v>731</v>
      </c>
      <c r="W487" s="87" t="s">
        <v>106</v>
      </c>
      <c r="X487" s="87" t="s">
        <v>104</v>
      </c>
    </row>
    <row r="488" spans="1:24" hidden="1">
      <c r="A488" s="91" t="s">
        <v>1008</v>
      </c>
      <c r="B488" s="75"/>
      <c r="C488" s="75"/>
      <c r="D488" s="75"/>
      <c r="E488" s="75"/>
      <c r="F488" s="318"/>
      <c r="G488" s="407"/>
      <c r="H488" s="75"/>
      <c r="I488" s="412"/>
      <c r="J488" s="420"/>
      <c r="K488" s="75"/>
      <c r="L488" s="75"/>
      <c r="M488" s="75"/>
      <c r="N488" s="75"/>
      <c r="O488" s="102"/>
      <c r="P488" s="79"/>
      <c r="Q488" s="79"/>
      <c r="R488" s="79">
        <v>40</v>
      </c>
      <c r="S488" s="80" t="s">
        <v>998</v>
      </c>
      <c r="T488" s="104" t="s">
        <v>113</v>
      </c>
      <c r="U488" s="79" t="s">
        <v>1010</v>
      </c>
      <c r="V488" s="79" t="s">
        <v>731</v>
      </c>
      <c r="W488" s="87" t="s">
        <v>106</v>
      </c>
      <c r="X488" s="87" t="s">
        <v>104</v>
      </c>
    </row>
    <row r="489" spans="1:24" hidden="1">
      <c r="A489" s="91" t="s">
        <v>1011</v>
      </c>
      <c r="B489" s="75"/>
      <c r="C489" s="75"/>
      <c r="D489" s="75"/>
      <c r="E489" s="75"/>
      <c r="F489" s="318"/>
      <c r="G489" s="407"/>
      <c r="H489" s="75"/>
      <c r="I489" s="412"/>
      <c r="J489" s="420"/>
      <c r="K489" s="75"/>
      <c r="L489" s="75"/>
      <c r="M489" s="75"/>
      <c r="N489" s="75"/>
      <c r="O489" s="102"/>
      <c r="P489" s="79"/>
      <c r="Q489" s="79"/>
      <c r="R489" s="79">
        <v>42</v>
      </c>
      <c r="S489" s="80" t="s">
        <v>998</v>
      </c>
      <c r="T489" s="104" t="s">
        <v>113</v>
      </c>
      <c r="U489" s="79" t="s">
        <v>1012</v>
      </c>
      <c r="V489" s="79" t="s">
        <v>731</v>
      </c>
      <c r="W489" s="87" t="s">
        <v>106</v>
      </c>
      <c r="X489" s="87" t="s">
        <v>104</v>
      </c>
    </row>
    <row r="490" spans="1:24" hidden="1">
      <c r="A490" s="91" t="s">
        <v>1011</v>
      </c>
      <c r="B490" s="75"/>
      <c r="C490" s="75"/>
      <c r="D490" s="75"/>
      <c r="E490" s="75"/>
      <c r="F490" s="318"/>
      <c r="G490" s="407"/>
      <c r="H490" s="75"/>
      <c r="I490" s="412"/>
      <c r="J490" s="420"/>
      <c r="K490" s="75"/>
      <c r="L490" s="75"/>
      <c r="M490" s="75"/>
      <c r="N490" s="75"/>
      <c r="O490" s="102"/>
      <c r="P490" s="79"/>
      <c r="Q490" s="79"/>
      <c r="R490" s="79">
        <v>42</v>
      </c>
      <c r="S490" s="80" t="s">
        <v>998</v>
      </c>
      <c r="T490" s="104" t="s">
        <v>113</v>
      </c>
      <c r="U490" s="79" t="s">
        <v>1013</v>
      </c>
      <c r="V490" s="79" t="s">
        <v>731</v>
      </c>
      <c r="W490" s="87" t="s">
        <v>106</v>
      </c>
      <c r="X490" s="87" t="s">
        <v>104</v>
      </c>
    </row>
    <row r="491" spans="1:24" hidden="1">
      <c r="A491" s="91" t="s">
        <v>1014</v>
      </c>
      <c r="B491" s="75"/>
      <c r="C491" s="75"/>
      <c r="D491" s="75"/>
      <c r="E491" s="75"/>
      <c r="F491" s="318"/>
      <c r="G491" s="407"/>
      <c r="H491" s="75"/>
      <c r="I491" s="412"/>
      <c r="J491" s="420"/>
      <c r="K491" s="75"/>
      <c r="L491" s="75"/>
      <c r="M491" s="75"/>
      <c r="N491" s="75"/>
      <c r="O491" s="102"/>
      <c r="P491" s="79"/>
      <c r="Q491" s="79"/>
      <c r="R491" s="79">
        <v>44</v>
      </c>
      <c r="S491" s="80" t="s">
        <v>998</v>
      </c>
      <c r="T491" s="104" t="s">
        <v>113</v>
      </c>
      <c r="U491" s="79" t="s">
        <v>1015</v>
      </c>
      <c r="V491" s="79" t="s">
        <v>731</v>
      </c>
      <c r="W491" s="87" t="s">
        <v>106</v>
      </c>
      <c r="X491" s="87" t="s">
        <v>104</v>
      </c>
    </row>
    <row r="492" spans="1:24" hidden="1">
      <c r="A492" s="91" t="s">
        <v>1014</v>
      </c>
      <c r="B492" s="75"/>
      <c r="C492" s="75"/>
      <c r="D492" s="75"/>
      <c r="E492" s="75"/>
      <c r="F492" s="318"/>
      <c r="G492" s="407"/>
      <c r="H492" s="75"/>
      <c r="I492" s="412"/>
      <c r="J492" s="420"/>
      <c r="K492" s="75"/>
      <c r="L492" s="75"/>
      <c r="M492" s="75"/>
      <c r="N492" s="75"/>
      <c r="O492" s="102"/>
      <c r="P492" s="79"/>
      <c r="Q492" s="79"/>
      <c r="R492" s="79">
        <v>40</v>
      </c>
      <c r="S492" s="80" t="s">
        <v>998</v>
      </c>
      <c r="T492" s="104" t="s">
        <v>113</v>
      </c>
      <c r="U492" s="79" t="s">
        <v>1016</v>
      </c>
      <c r="V492" s="79" t="s">
        <v>731</v>
      </c>
      <c r="W492" s="87" t="s">
        <v>106</v>
      </c>
      <c r="X492" s="87" t="s">
        <v>104</v>
      </c>
    </row>
    <row r="493" spans="1:24" hidden="1">
      <c r="A493" s="91" t="s">
        <v>1017</v>
      </c>
      <c r="B493" s="75"/>
      <c r="C493" s="75"/>
      <c r="D493" s="75"/>
      <c r="E493" s="75"/>
      <c r="F493" s="318"/>
      <c r="G493" s="407"/>
      <c r="H493" s="75"/>
      <c r="I493" s="412"/>
      <c r="J493" s="420"/>
      <c r="K493" s="75"/>
      <c r="L493" s="75"/>
      <c r="M493" s="75"/>
      <c r="N493" s="75"/>
      <c r="O493" s="102"/>
      <c r="P493" s="79"/>
      <c r="Q493" s="79"/>
      <c r="R493" s="79">
        <v>44</v>
      </c>
      <c r="S493" s="80" t="s">
        <v>729</v>
      </c>
      <c r="T493" s="104" t="s">
        <v>113</v>
      </c>
      <c r="U493" s="79" t="s">
        <v>1018</v>
      </c>
      <c r="V493" s="79" t="s">
        <v>731</v>
      </c>
      <c r="W493" s="87" t="s">
        <v>103</v>
      </c>
      <c r="X493" s="87" t="s">
        <v>104</v>
      </c>
    </row>
    <row r="494" spans="1:24" hidden="1">
      <c r="A494" s="91" t="s">
        <v>1017</v>
      </c>
      <c r="B494" s="75"/>
      <c r="C494" s="75"/>
      <c r="D494" s="75"/>
      <c r="E494" s="75"/>
      <c r="F494" s="318"/>
      <c r="G494" s="407"/>
      <c r="H494" s="75"/>
      <c r="I494" s="412"/>
      <c r="J494" s="420"/>
      <c r="K494" s="75"/>
      <c r="L494" s="75"/>
      <c r="M494" s="75"/>
      <c r="N494" s="75"/>
      <c r="O494" s="102"/>
      <c r="P494" s="79"/>
      <c r="Q494" s="79"/>
      <c r="R494" s="79">
        <v>35</v>
      </c>
      <c r="S494" s="80" t="s">
        <v>729</v>
      </c>
      <c r="T494" s="104" t="s">
        <v>113</v>
      </c>
      <c r="U494" s="79" t="s">
        <v>1019</v>
      </c>
      <c r="V494" s="79" t="s">
        <v>731</v>
      </c>
      <c r="W494" s="87" t="s">
        <v>103</v>
      </c>
      <c r="X494" s="87" t="s">
        <v>104</v>
      </c>
    </row>
    <row r="495" spans="1:24" hidden="1">
      <c r="A495" s="91" t="s">
        <v>1020</v>
      </c>
      <c r="B495" s="75"/>
      <c r="C495" s="75"/>
      <c r="D495" s="75"/>
      <c r="E495" s="75"/>
      <c r="F495" s="318"/>
      <c r="G495" s="407"/>
      <c r="H495" s="75"/>
      <c r="I495" s="412"/>
      <c r="J495" s="420"/>
      <c r="K495" s="75"/>
      <c r="L495" s="75"/>
      <c r="M495" s="75"/>
      <c r="N495" s="75"/>
      <c r="O495" s="102"/>
      <c r="P495" s="79"/>
      <c r="Q495" s="79"/>
      <c r="R495" s="79">
        <v>39</v>
      </c>
      <c r="S495" s="80" t="s">
        <v>729</v>
      </c>
      <c r="T495" s="104" t="s">
        <v>113</v>
      </c>
      <c r="U495" s="79" t="s">
        <v>1021</v>
      </c>
      <c r="V495" s="79" t="s">
        <v>731</v>
      </c>
      <c r="W495" s="87" t="s">
        <v>103</v>
      </c>
      <c r="X495" s="87" t="s">
        <v>104</v>
      </c>
    </row>
    <row r="496" spans="1:24" ht="25.5" hidden="1">
      <c r="A496" s="91" t="s">
        <v>1022</v>
      </c>
      <c r="B496" s="75"/>
      <c r="C496" s="75"/>
      <c r="D496" s="75"/>
      <c r="E496" s="75"/>
      <c r="F496" s="318"/>
      <c r="G496" s="407"/>
      <c r="H496" s="75"/>
      <c r="I496" s="412"/>
      <c r="J496" s="420"/>
      <c r="K496" s="75"/>
      <c r="L496" s="75"/>
      <c r="M496" s="75"/>
      <c r="N496" s="75"/>
      <c r="O496" s="102"/>
      <c r="P496" s="79"/>
      <c r="Q496" s="79"/>
      <c r="R496" s="79">
        <v>44</v>
      </c>
      <c r="S496" s="80" t="s">
        <v>729</v>
      </c>
      <c r="T496" s="104" t="s">
        <v>113</v>
      </c>
      <c r="U496" s="79" t="s">
        <v>1023</v>
      </c>
      <c r="V496" s="79" t="s">
        <v>731</v>
      </c>
      <c r="W496" s="87" t="s">
        <v>103</v>
      </c>
      <c r="X496" s="87" t="s">
        <v>104</v>
      </c>
    </row>
    <row r="497" spans="1:24" hidden="1">
      <c r="A497" s="91" t="s">
        <v>1024</v>
      </c>
      <c r="B497" s="75"/>
      <c r="C497" s="75"/>
      <c r="D497" s="75"/>
      <c r="E497" s="75"/>
      <c r="F497" s="318"/>
      <c r="G497" s="407"/>
      <c r="H497" s="75"/>
      <c r="I497" s="412"/>
      <c r="J497" s="420"/>
      <c r="K497" s="75"/>
      <c r="L497" s="75"/>
      <c r="M497" s="75"/>
      <c r="N497" s="75"/>
      <c r="O497" s="102"/>
      <c r="P497" s="79"/>
      <c r="Q497" s="79"/>
      <c r="R497" s="79">
        <v>36</v>
      </c>
      <c r="S497" s="80" t="s">
        <v>729</v>
      </c>
      <c r="T497" s="104" t="s">
        <v>113</v>
      </c>
      <c r="U497" s="79" t="s">
        <v>1025</v>
      </c>
      <c r="V497" s="79" t="s">
        <v>731</v>
      </c>
      <c r="W497" s="87" t="s">
        <v>103</v>
      </c>
      <c r="X497" s="87" t="s">
        <v>104</v>
      </c>
    </row>
    <row r="498" spans="1:24" ht="25.5" hidden="1">
      <c r="A498" s="91" t="s">
        <v>1026</v>
      </c>
      <c r="B498" s="75"/>
      <c r="C498" s="75"/>
      <c r="D498" s="75"/>
      <c r="E498" s="75"/>
      <c r="F498" s="318"/>
      <c r="G498" s="407"/>
      <c r="H498" s="75"/>
      <c r="I498" s="412"/>
      <c r="J498" s="420"/>
      <c r="K498" s="75"/>
      <c r="L498" s="75"/>
      <c r="M498" s="75"/>
      <c r="N498" s="75"/>
      <c r="O498" s="102"/>
      <c r="P498" s="79"/>
      <c r="Q498" s="79"/>
      <c r="R498" s="79">
        <v>44</v>
      </c>
      <c r="S498" s="80" t="s">
        <v>729</v>
      </c>
      <c r="T498" s="104" t="s">
        <v>113</v>
      </c>
      <c r="U498" s="79" t="s">
        <v>1027</v>
      </c>
      <c r="V498" s="79" t="s">
        <v>731</v>
      </c>
      <c r="W498" s="87" t="s">
        <v>103</v>
      </c>
      <c r="X498" s="87" t="s">
        <v>104</v>
      </c>
    </row>
    <row r="499" spans="1:24" hidden="1">
      <c r="A499" s="91" t="s">
        <v>1028</v>
      </c>
      <c r="B499" s="75"/>
      <c r="C499" s="75"/>
      <c r="D499" s="75"/>
      <c r="E499" s="75"/>
      <c r="F499" s="318"/>
      <c r="G499" s="407"/>
      <c r="H499" s="75"/>
      <c r="I499" s="412"/>
      <c r="J499" s="420"/>
      <c r="K499" s="75"/>
      <c r="L499" s="75"/>
      <c r="M499" s="75"/>
      <c r="N499" s="75"/>
      <c r="O499" s="102"/>
      <c r="P499" s="79"/>
      <c r="Q499" s="79"/>
      <c r="R499" s="79">
        <v>43</v>
      </c>
      <c r="S499" s="80" t="s">
        <v>729</v>
      </c>
      <c r="T499" s="104" t="s">
        <v>113</v>
      </c>
      <c r="U499" s="79" t="s">
        <v>1029</v>
      </c>
      <c r="V499" s="79" t="s">
        <v>731</v>
      </c>
      <c r="W499" s="87" t="s">
        <v>103</v>
      </c>
      <c r="X499" s="87" t="s">
        <v>104</v>
      </c>
    </row>
    <row r="500" spans="1:24" hidden="1">
      <c r="A500" s="91" t="s">
        <v>1030</v>
      </c>
      <c r="B500" s="75"/>
      <c r="C500" s="75"/>
      <c r="D500" s="75"/>
      <c r="E500" s="75"/>
      <c r="F500" s="318"/>
      <c r="G500" s="407"/>
      <c r="H500" s="75"/>
      <c r="I500" s="412"/>
      <c r="J500" s="420"/>
      <c r="K500" s="75"/>
      <c r="L500" s="75"/>
      <c r="M500" s="75"/>
      <c r="N500" s="75"/>
      <c r="O500" s="102"/>
      <c r="P500" s="79"/>
      <c r="Q500" s="79"/>
      <c r="R500" s="79">
        <v>41</v>
      </c>
      <c r="S500" s="80" t="s">
        <v>729</v>
      </c>
      <c r="T500" s="104" t="s">
        <v>113</v>
      </c>
      <c r="U500" s="79" t="s">
        <v>1031</v>
      </c>
      <c r="V500" s="79" t="s">
        <v>731</v>
      </c>
      <c r="W500" s="87" t="s">
        <v>103</v>
      </c>
      <c r="X500" s="87" t="s">
        <v>104</v>
      </c>
    </row>
    <row r="501" spans="1:24" hidden="1">
      <c r="A501" s="91" t="s">
        <v>1032</v>
      </c>
      <c r="B501" s="75"/>
      <c r="C501" s="75"/>
      <c r="D501" s="75"/>
      <c r="E501" s="75"/>
      <c r="F501" s="318"/>
      <c r="G501" s="407"/>
      <c r="H501" s="75"/>
      <c r="I501" s="412"/>
      <c r="J501" s="420"/>
      <c r="K501" s="75"/>
      <c r="L501" s="75"/>
      <c r="M501" s="75"/>
      <c r="N501" s="75"/>
      <c r="O501" s="102"/>
      <c r="P501" s="79"/>
      <c r="Q501" s="79"/>
      <c r="R501" s="79">
        <v>39</v>
      </c>
      <c r="S501" s="80" t="s">
        <v>729</v>
      </c>
      <c r="T501" s="104" t="s">
        <v>113</v>
      </c>
      <c r="U501" s="79" t="s">
        <v>1033</v>
      </c>
      <c r="V501" s="79" t="s">
        <v>731</v>
      </c>
      <c r="W501" s="87" t="s">
        <v>103</v>
      </c>
      <c r="X501" s="87" t="s">
        <v>104</v>
      </c>
    </row>
    <row r="502" spans="1:24" ht="25.5" hidden="1">
      <c r="A502" s="91" t="s">
        <v>1034</v>
      </c>
      <c r="B502" s="75"/>
      <c r="C502" s="75"/>
      <c r="D502" s="75"/>
      <c r="E502" s="75"/>
      <c r="F502" s="318"/>
      <c r="G502" s="407"/>
      <c r="H502" s="75"/>
      <c r="I502" s="412"/>
      <c r="J502" s="420"/>
      <c r="K502" s="75"/>
      <c r="L502" s="75"/>
      <c r="M502" s="75"/>
      <c r="N502" s="75"/>
      <c r="O502" s="102"/>
      <c r="P502" s="79"/>
      <c r="Q502" s="79"/>
      <c r="R502" s="79">
        <v>38</v>
      </c>
      <c r="S502" s="80" t="s">
        <v>729</v>
      </c>
      <c r="T502" s="104" t="s">
        <v>113</v>
      </c>
      <c r="U502" s="79" t="s">
        <v>1035</v>
      </c>
      <c r="V502" s="79" t="s">
        <v>731</v>
      </c>
      <c r="W502" s="87" t="s">
        <v>103</v>
      </c>
      <c r="X502" s="87" t="s">
        <v>104</v>
      </c>
    </row>
    <row r="503" spans="1:24" hidden="1">
      <c r="A503" s="91" t="s">
        <v>1036</v>
      </c>
      <c r="B503" s="75"/>
      <c r="C503" s="75"/>
      <c r="D503" s="75"/>
      <c r="E503" s="75"/>
      <c r="F503" s="318"/>
      <c r="G503" s="407"/>
      <c r="H503" s="75"/>
      <c r="I503" s="412"/>
      <c r="J503" s="420"/>
      <c r="K503" s="75"/>
      <c r="L503" s="75"/>
      <c r="M503" s="75"/>
      <c r="N503" s="75"/>
      <c r="O503" s="102"/>
      <c r="P503" s="79"/>
      <c r="Q503" s="79"/>
      <c r="R503" s="79">
        <v>40</v>
      </c>
      <c r="S503" s="80" t="s">
        <v>1037</v>
      </c>
      <c r="T503" s="104" t="s">
        <v>113</v>
      </c>
      <c r="U503" s="79" t="s">
        <v>1038</v>
      </c>
      <c r="V503" s="79" t="s">
        <v>731</v>
      </c>
      <c r="W503" s="87" t="s">
        <v>103</v>
      </c>
      <c r="X503" s="87" t="s">
        <v>104</v>
      </c>
    </row>
    <row r="504" spans="1:24" ht="25.5" hidden="1">
      <c r="A504" s="91" t="s">
        <v>1039</v>
      </c>
      <c r="B504" s="75"/>
      <c r="C504" s="75"/>
      <c r="D504" s="75"/>
      <c r="E504" s="75"/>
      <c r="F504" s="318"/>
      <c r="G504" s="407"/>
      <c r="H504" s="75"/>
      <c r="I504" s="412"/>
      <c r="J504" s="420"/>
      <c r="K504" s="75"/>
      <c r="L504" s="75"/>
      <c r="M504" s="75"/>
      <c r="N504" s="75"/>
      <c r="O504" s="102"/>
      <c r="P504" s="79"/>
      <c r="Q504" s="79"/>
      <c r="R504" s="79">
        <v>40</v>
      </c>
      <c r="S504" s="80" t="s">
        <v>1037</v>
      </c>
      <c r="T504" s="104" t="s">
        <v>113</v>
      </c>
      <c r="U504" s="79" t="s">
        <v>1040</v>
      </c>
      <c r="V504" s="79" t="s">
        <v>731</v>
      </c>
      <c r="W504" s="87" t="s">
        <v>103</v>
      </c>
      <c r="X504" s="87" t="s">
        <v>104</v>
      </c>
    </row>
    <row r="505" spans="1:24" hidden="1">
      <c r="A505" s="91" t="s">
        <v>1041</v>
      </c>
      <c r="B505" s="75"/>
      <c r="C505" s="75"/>
      <c r="D505" s="75"/>
      <c r="E505" s="75"/>
      <c r="F505" s="318"/>
      <c r="G505" s="407"/>
      <c r="H505" s="75"/>
      <c r="I505" s="412"/>
      <c r="J505" s="420"/>
      <c r="K505" s="75"/>
      <c r="L505" s="75"/>
      <c r="M505" s="75"/>
      <c r="N505" s="75"/>
      <c r="O505" s="102"/>
      <c r="P505" s="79"/>
      <c r="Q505" s="79"/>
      <c r="R505" s="79">
        <v>42</v>
      </c>
      <c r="S505" s="80" t="s">
        <v>1037</v>
      </c>
      <c r="T505" s="104" t="s">
        <v>113</v>
      </c>
      <c r="U505" s="79" t="s">
        <v>1042</v>
      </c>
      <c r="V505" s="79" t="s">
        <v>731</v>
      </c>
      <c r="W505" s="87" t="s">
        <v>103</v>
      </c>
      <c r="X505" s="87" t="s">
        <v>104</v>
      </c>
    </row>
    <row r="506" spans="1:24" ht="25.5" hidden="1">
      <c r="A506" s="91" t="s">
        <v>1043</v>
      </c>
      <c r="B506" s="75"/>
      <c r="C506" s="75"/>
      <c r="D506" s="75"/>
      <c r="E506" s="75"/>
      <c r="F506" s="318"/>
      <c r="G506" s="407"/>
      <c r="H506" s="75"/>
      <c r="I506" s="412"/>
      <c r="J506" s="420"/>
      <c r="K506" s="75"/>
      <c r="L506" s="75"/>
      <c r="M506" s="75"/>
      <c r="N506" s="75"/>
      <c r="O506" s="102"/>
      <c r="P506" s="79"/>
      <c r="Q506" s="79"/>
      <c r="R506" s="79">
        <v>42</v>
      </c>
      <c r="S506" s="80" t="s">
        <v>1037</v>
      </c>
      <c r="T506" s="104" t="s">
        <v>113</v>
      </c>
      <c r="U506" s="79" t="s">
        <v>1044</v>
      </c>
      <c r="V506" s="79" t="s">
        <v>731</v>
      </c>
      <c r="W506" s="87" t="s">
        <v>103</v>
      </c>
      <c r="X506" s="87" t="s">
        <v>104</v>
      </c>
    </row>
    <row r="507" spans="1:24" hidden="1">
      <c r="A507" s="91" t="s">
        <v>1045</v>
      </c>
      <c r="B507" s="75"/>
      <c r="C507" s="75"/>
      <c r="D507" s="75"/>
      <c r="E507" s="75"/>
      <c r="F507" s="318"/>
      <c r="G507" s="407"/>
      <c r="H507" s="75"/>
      <c r="I507" s="412"/>
      <c r="J507" s="420"/>
      <c r="K507" s="75"/>
      <c r="L507" s="75"/>
      <c r="M507" s="75"/>
      <c r="N507" s="75"/>
      <c r="O507" s="102"/>
      <c r="P507" s="79"/>
      <c r="Q507" s="79"/>
      <c r="R507" s="79">
        <v>40</v>
      </c>
      <c r="S507" s="80" t="s">
        <v>1037</v>
      </c>
      <c r="T507" s="104" t="s">
        <v>113</v>
      </c>
      <c r="U507" s="79" t="s">
        <v>1046</v>
      </c>
      <c r="V507" s="79" t="s">
        <v>731</v>
      </c>
      <c r="W507" s="87" t="s">
        <v>103</v>
      </c>
      <c r="X507" s="87" t="s">
        <v>104</v>
      </c>
    </row>
    <row r="508" spans="1:24" ht="25.5" hidden="1">
      <c r="A508" s="91" t="s">
        <v>1047</v>
      </c>
      <c r="B508" s="75"/>
      <c r="C508" s="75"/>
      <c r="D508" s="75"/>
      <c r="E508" s="75"/>
      <c r="F508" s="318"/>
      <c r="G508" s="407"/>
      <c r="H508" s="75"/>
      <c r="I508" s="412"/>
      <c r="J508" s="420"/>
      <c r="K508" s="75"/>
      <c r="L508" s="75"/>
      <c r="M508" s="75"/>
      <c r="N508" s="75"/>
      <c r="O508" s="102"/>
      <c r="P508" s="79"/>
      <c r="Q508" s="79"/>
      <c r="R508" s="79">
        <v>42</v>
      </c>
      <c r="S508" s="80" t="s">
        <v>1037</v>
      </c>
      <c r="T508" s="104" t="s">
        <v>113</v>
      </c>
      <c r="U508" s="79" t="s">
        <v>1048</v>
      </c>
      <c r="V508" s="79" t="s">
        <v>731</v>
      </c>
      <c r="W508" s="87" t="s">
        <v>103</v>
      </c>
      <c r="X508" s="87" t="s">
        <v>104</v>
      </c>
    </row>
    <row r="509" spans="1:24" hidden="1">
      <c r="A509" s="91" t="s">
        <v>1049</v>
      </c>
      <c r="B509" s="75"/>
      <c r="C509" s="75"/>
      <c r="D509" s="75"/>
      <c r="E509" s="75"/>
      <c r="F509" s="318"/>
      <c r="G509" s="407"/>
      <c r="H509" s="75"/>
      <c r="I509" s="412"/>
      <c r="J509" s="420"/>
      <c r="K509" s="75"/>
      <c r="L509" s="75"/>
      <c r="M509" s="75"/>
      <c r="N509" s="75"/>
      <c r="O509" s="102"/>
      <c r="P509" s="79"/>
      <c r="Q509" s="79"/>
      <c r="R509" s="79">
        <v>42</v>
      </c>
      <c r="S509" s="80" t="s">
        <v>1037</v>
      </c>
      <c r="T509" s="104" t="s">
        <v>113</v>
      </c>
      <c r="U509" s="79" t="s">
        <v>1050</v>
      </c>
      <c r="V509" s="79" t="s">
        <v>731</v>
      </c>
      <c r="W509" s="87" t="s">
        <v>103</v>
      </c>
      <c r="X509" s="87" t="s">
        <v>104</v>
      </c>
    </row>
    <row r="510" spans="1:24" ht="25.5" hidden="1">
      <c r="A510" s="91" t="s">
        <v>1051</v>
      </c>
      <c r="B510" s="75"/>
      <c r="C510" s="75"/>
      <c r="D510" s="75"/>
      <c r="E510" s="75"/>
      <c r="F510" s="318"/>
      <c r="G510" s="407"/>
      <c r="H510" s="75"/>
      <c r="I510" s="412"/>
      <c r="J510" s="420"/>
      <c r="K510" s="75"/>
      <c r="L510" s="75"/>
      <c r="M510" s="75"/>
      <c r="N510" s="75"/>
      <c r="O510" s="102"/>
      <c r="P510" s="79"/>
      <c r="Q510" s="79"/>
      <c r="R510" s="79">
        <v>40</v>
      </c>
      <c r="S510" s="80" t="s">
        <v>1037</v>
      </c>
      <c r="T510" s="104" t="s">
        <v>113</v>
      </c>
      <c r="U510" s="79" t="s">
        <v>1052</v>
      </c>
      <c r="V510" s="79" t="s">
        <v>731</v>
      </c>
      <c r="W510" s="87" t="s">
        <v>106</v>
      </c>
      <c r="X510" s="87" t="s">
        <v>104</v>
      </c>
    </row>
    <row r="511" spans="1:24" hidden="1">
      <c r="A511" s="91" t="s">
        <v>1053</v>
      </c>
      <c r="B511" s="75"/>
      <c r="C511" s="75"/>
      <c r="D511" s="75"/>
      <c r="E511" s="75"/>
      <c r="F511" s="318"/>
      <c r="G511" s="407"/>
      <c r="H511" s="75"/>
      <c r="I511" s="412"/>
      <c r="J511" s="420"/>
      <c r="K511" s="75"/>
      <c r="L511" s="75"/>
      <c r="M511" s="75"/>
      <c r="N511" s="75"/>
      <c r="O511" s="102"/>
      <c r="P511" s="79"/>
      <c r="Q511" s="79"/>
      <c r="R511" s="79">
        <v>42</v>
      </c>
      <c r="S511" s="80" t="s">
        <v>1037</v>
      </c>
      <c r="T511" s="104" t="s">
        <v>113</v>
      </c>
      <c r="U511" s="79" t="s">
        <v>1054</v>
      </c>
      <c r="V511" s="79" t="s">
        <v>731</v>
      </c>
      <c r="W511" s="87" t="s">
        <v>106</v>
      </c>
      <c r="X511" s="87" t="s">
        <v>104</v>
      </c>
    </row>
    <row r="512" spans="1:24" ht="25.5" hidden="1">
      <c r="A512" s="91" t="s">
        <v>1055</v>
      </c>
      <c r="B512" s="75"/>
      <c r="C512" s="75"/>
      <c r="D512" s="75"/>
      <c r="E512" s="75"/>
      <c r="F512" s="318"/>
      <c r="G512" s="407"/>
      <c r="H512" s="75"/>
      <c r="I512" s="412"/>
      <c r="J512" s="420"/>
      <c r="K512" s="75"/>
      <c r="L512" s="75"/>
      <c r="M512" s="75"/>
      <c r="N512" s="75"/>
      <c r="O512" s="102"/>
      <c r="P512" s="79"/>
      <c r="Q512" s="79"/>
      <c r="R512" s="79">
        <v>42</v>
      </c>
      <c r="S512" s="80" t="s">
        <v>1037</v>
      </c>
      <c r="T512" s="104" t="s">
        <v>113</v>
      </c>
      <c r="U512" s="79" t="s">
        <v>1056</v>
      </c>
      <c r="V512" s="79" t="s">
        <v>731</v>
      </c>
      <c r="W512" s="87" t="s">
        <v>106</v>
      </c>
      <c r="X512" s="87" t="s">
        <v>104</v>
      </c>
    </row>
    <row r="513" spans="1:24" hidden="1">
      <c r="A513" s="91" t="s">
        <v>1057</v>
      </c>
      <c r="B513" s="75"/>
      <c r="C513" s="75"/>
      <c r="D513" s="75"/>
      <c r="E513" s="75"/>
      <c r="F513" s="318"/>
      <c r="G513" s="407"/>
      <c r="H513" s="75"/>
      <c r="I513" s="412"/>
      <c r="J513" s="420"/>
      <c r="K513" s="75"/>
      <c r="L513" s="75"/>
      <c r="M513" s="75"/>
      <c r="N513" s="75"/>
      <c r="O513" s="102"/>
      <c r="P513" s="79"/>
      <c r="Q513" s="79"/>
      <c r="R513" s="79">
        <v>42</v>
      </c>
      <c r="S513" s="80" t="s">
        <v>1037</v>
      </c>
      <c r="T513" s="104" t="s">
        <v>113</v>
      </c>
      <c r="U513" s="79" t="s">
        <v>1058</v>
      </c>
      <c r="V513" s="79" t="s">
        <v>731</v>
      </c>
      <c r="W513" s="87" t="s">
        <v>106</v>
      </c>
      <c r="X513" s="87" t="s">
        <v>104</v>
      </c>
    </row>
    <row r="514" spans="1:24" ht="25.5" hidden="1">
      <c r="A514" s="91" t="s">
        <v>1059</v>
      </c>
      <c r="B514" s="75"/>
      <c r="C514" s="75"/>
      <c r="D514" s="75"/>
      <c r="E514" s="75"/>
      <c r="F514" s="318"/>
      <c r="G514" s="407"/>
      <c r="H514" s="75"/>
      <c r="I514" s="412"/>
      <c r="J514" s="420"/>
      <c r="K514" s="75"/>
      <c r="L514" s="75"/>
      <c r="M514" s="75"/>
      <c r="N514" s="75"/>
      <c r="O514" s="102"/>
      <c r="P514" s="79"/>
      <c r="Q514" s="79"/>
      <c r="R514" s="79">
        <v>42</v>
      </c>
      <c r="S514" s="80" t="s">
        <v>1037</v>
      </c>
      <c r="T514" s="104" t="s">
        <v>113</v>
      </c>
      <c r="U514" s="79" t="s">
        <v>1060</v>
      </c>
      <c r="V514" s="79" t="s">
        <v>731</v>
      </c>
      <c r="W514" s="87" t="s">
        <v>106</v>
      </c>
      <c r="X514" s="87" t="s">
        <v>104</v>
      </c>
    </row>
    <row r="515" spans="1:24" hidden="1">
      <c r="A515" s="91" t="s">
        <v>1061</v>
      </c>
      <c r="B515" s="75"/>
      <c r="C515" s="75"/>
      <c r="D515" s="75"/>
      <c r="E515" s="75"/>
      <c r="F515" s="318"/>
      <c r="G515" s="407"/>
      <c r="H515" s="75"/>
      <c r="I515" s="412"/>
      <c r="J515" s="420"/>
      <c r="K515" s="75"/>
      <c r="L515" s="75"/>
      <c r="M515" s="75"/>
      <c r="N515" s="75"/>
      <c r="O515" s="102"/>
      <c r="P515" s="79"/>
      <c r="Q515" s="79"/>
      <c r="R515" s="79">
        <v>37</v>
      </c>
      <c r="S515" s="80" t="s">
        <v>1037</v>
      </c>
      <c r="T515" s="104" t="s">
        <v>113</v>
      </c>
      <c r="U515" s="79" t="s">
        <v>1062</v>
      </c>
      <c r="V515" s="79" t="s">
        <v>731</v>
      </c>
      <c r="W515" s="87" t="s">
        <v>106</v>
      </c>
      <c r="X515" s="87" t="s">
        <v>104</v>
      </c>
    </row>
    <row r="516" spans="1:24" ht="25.5" hidden="1">
      <c r="A516" s="91" t="s">
        <v>1063</v>
      </c>
      <c r="B516" s="75"/>
      <c r="C516" s="75"/>
      <c r="D516" s="75"/>
      <c r="E516" s="75"/>
      <c r="F516" s="318"/>
      <c r="G516" s="407"/>
      <c r="H516" s="75"/>
      <c r="I516" s="412"/>
      <c r="J516" s="420"/>
      <c r="K516" s="75"/>
      <c r="L516" s="75"/>
      <c r="M516" s="75"/>
      <c r="N516" s="75"/>
      <c r="O516" s="102"/>
      <c r="P516" s="79"/>
      <c r="Q516" s="79"/>
      <c r="R516" s="79">
        <v>40</v>
      </c>
      <c r="S516" s="80" t="s">
        <v>1037</v>
      </c>
      <c r="T516" s="104" t="s">
        <v>113</v>
      </c>
      <c r="U516" s="79" t="s">
        <v>1064</v>
      </c>
      <c r="V516" s="79" t="s">
        <v>731</v>
      </c>
      <c r="W516" s="87" t="s">
        <v>106</v>
      </c>
      <c r="X516" s="87" t="s">
        <v>104</v>
      </c>
    </row>
    <row r="517" spans="1:24" hidden="1">
      <c r="A517" s="91" t="s">
        <v>1065</v>
      </c>
      <c r="B517" s="75"/>
      <c r="C517" s="75"/>
      <c r="D517" s="75"/>
      <c r="E517" s="75"/>
      <c r="F517" s="318"/>
      <c r="G517" s="407"/>
      <c r="H517" s="75"/>
      <c r="I517" s="412"/>
      <c r="J517" s="420"/>
      <c r="K517" s="75"/>
      <c r="L517" s="75"/>
      <c r="M517" s="75"/>
      <c r="N517" s="75"/>
      <c r="O517" s="102"/>
      <c r="P517" s="79"/>
      <c r="Q517" s="79"/>
      <c r="R517" s="79">
        <v>36</v>
      </c>
      <c r="S517" s="80" t="s">
        <v>1037</v>
      </c>
      <c r="T517" s="104" t="s">
        <v>113</v>
      </c>
      <c r="U517" s="79" t="s">
        <v>1066</v>
      </c>
      <c r="V517" s="79" t="s">
        <v>731</v>
      </c>
      <c r="W517" s="87" t="s">
        <v>106</v>
      </c>
      <c r="X517" s="87" t="s">
        <v>104</v>
      </c>
    </row>
    <row r="518" spans="1:24" ht="25.5" hidden="1">
      <c r="A518" s="91" t="s">
        <v>1067</v>
      </c>
      <c r="B518" s="75"/>
      <c r="C518" s="75"/>
      <c r="D518" s="75"/>
      <c r="E518" s="75"/>
      <c r="F518" s="318"/>
      <c r="G518" s="407"/>
      <c r="H518" s="75"/>
      <c r="I518" s="412"/>
      <c r="J518" s="420"/>
      <c r="K518" s="75"/>
      <c r="L518" s="75"/>
      <c r="M518" s="75"/>
      <c r="N518" s="75"/>
      <c r="O518" s="102"/>
      <c r="P518" s="79"/>
      <c r="Q518" s="79"/>
      <c r="R518" s="79">
        <v>43</v>
      </c>
      <c r="S518" s="80" t="s">
        <v>1037</v>
      </c>
      <c r="T518" s="104" t="s">
        <v>113</v>
      </c>
      <c r="U518" s="79" t="s">
        <v>1068</v>
      </c>
      <c r="V518" s="79" t="s">
        <v>731</v>
      </c>
      <c r="W518" s="87" t="s">
        <v>106</v>
      </c>
      <c r="X518" s="87" t="s">
        <v>104</v>
      </c>
    </row>
    <row r="519" spans="1:24" hidden="1">
      <c r="A519" s="74" t="s">
        <v>1069</v>
      </c>
      <c r="B519" s="75"/>
      <c r="C519" s="75"/>
      <c r="D519" s="75"/>
      <c r="E519" s="75"/>
      <c r="F519" s="318"/>
      <c r="G519" s="407"/>
      <c r="H519" s="75"/>
      <c r="I519" s="412"/>
      <c r="J519" s="420"/>
      <c r="K519" s="75"/>
      <c r="L519" s="75"/>
      <c r="M519" s="75"/>
      <c r="N519" s="75"/>
      <c r="O519" s="102"/>
      <c r="P519" s="79"/>
      <c r="Q519" s="79"/>
      <c r="R519" s="79">
        <v>38</v>
      </c>
      <c r="S519" s="80" t="s">
        <v>1037</v>
      </c>
      <c r="T519" s="104" t="s">
        <v>113</v>
      </c>
      <c r="U519" s="79" t="s">
        <v>1070</v>
      </c>
      <c r="V519" s="79" t="s">
        <v>731</v>
      </c>
      <c r="W519" s="87" t="s">
        <v>106</v>
      </c>
      <c r="X519" s="87" t="s">
        <v>104</v>
      </c>
    </row>
    <row r="520" spans="1:24" hidden="1">
      <c r="A520" s="74" t="s">
        <v>1071</v>
      </c>
      <c r="B520" s="75"/>
      <c r="C520" s="75"/>
      <c r="D520" s="75"/>
      <c r="E520" s="75"/>
      <c r="F520" s="318"/>
      <c r="G520" s="407"/>
      <c r="H520" s="75"/>
      <c r="I520" s="412"/>
      <c r="J520" s="420"/>
      <c r="K520" s="75"/>
      <c r="L520" s="75"/>
      <c r="M520" s="75"/>
      <c r="N520" s="75"/>
      <c r="O520" s="102"/>
      <c r="P520" s="79"/>
      <c r="Q520" s="79"/>
      <c r="R520" s="79">
        <v>36</v>
      </c>
      <c r="S520" s="80" t="s">
        <v>268</v>
      </c>
      <c r="T520" s="104" t="s">
        <v>113</v>
      </c>
      <c r="U520" s="79" t="s">
        <v>1072</v>
      </c>
      <c r="V520" s="79" t="s">
        <v>731</v>
      </c>
      <c r="W520" s="87" t="s">
        <v>106</v>
      </c>
      <c r="X520" s="87" t="s">
        <v>104</v>
      </c>
    </row>
    <row r="521" spans="1:24" hidden="1">
      <c r="A521" s="74" t="s">
        <v>1073</v>
      </c>
      <c r="B521" s="75"/>
      <c r="C521" s="75"/>
      <c r="D521" s="75"/>
      <c r="E521" s="75"/>
      <c r="F521" s="318"/>
      <c r="G521" s="407"/>
      <c r="H521" s="75"/>
      <c r="I521" s="412"/>
      <c r="J521" s="420"/>
      <c r="K521" s="75"/>
      <c r="L521" s="75"/>
      <c r="M521" s="75"/>
      <c r="N521" s="75"/>
      <c r="O521" s="102"/>
      <c r="P521" s="79"/>
      <c r="Q521" s="79"/>
      <c r="R521" s="79">
        <v>38</v>
      </c>
      <c r="S521" s="80" t="s">
        <v>268</v>
      </c>
      <c r="T521" s="104" t="s">
        <v>113</v>
      </c>
      <c r="U521" s="79" t="s">
        <v>1074</v>
      </c>
      <c r="V521" s="79" t="s">
        <v>731</v>
      </c>
      <c r="W521" s="87" t="s">
        <v>106</v>
      </c>
      <c r="X521" s="87" t="s">
        <v>104</v>
      </c>
    </row>
    <row r="522" spans="1:24" ht="25.5" hidden="1">
      <c r="A522" s="74" t="s">
        <v>1075</v>
      </c>
      <c r="B522" s="75"/>
      <c r="C522" s="75"/>
      <c r="D522" s="75"/>
      <c r="E522" s="75"/>
      <c r="F522" s="318"/>
      <c r="G522" s="407"/>
      <c r="H522" s="75"/>
      <c r="I522" s="412"/>
      <c r="J522" s="420"/>
      <c r="K522" s="75"/>
      <c r="L522" s="75"/>
      <c r="M522" s="75"/>
      <c r="N522" s="75"/>
      <c r="O522" s="102"/>
      <c r="P522" s="79"/>
      <c r="Q522" s="79"/>
      <c r="R522" s="79">
        <v>42</v>
      </c>
      <c r="S522" s="80" t="s">
        <v>268</v>
      </c>
      <c r="T522" s="104" t="s">
        <v>113</v>
      </c>
      <c r="U522" s="79" t="s">
        <v>1076</v>
      </c>
      <c r="V522" s="79" t="s">
        <v>731</v>
      </c>
      <c r="W522" s="87" t="s">
        <v>106</v>
      </c>
      <c r="X522" s="87" t="s">
        <v>104</v>
      </c>
    </row>
    <row r="523" spans="1:24" hidden="1">
      <c r="A523" s="74" t="s">
        <v>1077</v>
      </c>
      <c r="B523" s="75"/>
      <c r="C523" s="75"/>
      <c r="D523" s="75"/>
      <c r="E523" s="75"/>
      <c r="F523" s="318"/>
      <c r="G523" s="407"/>
      <c r="H523" s="75"/>
      <c r="I523" s="412"/>
      <c r="J523" s="420"/>
      <c r="K523" s="75"/>
      <c r="L523" s="75"/>
      <c r="M523" s="75"/>
      <c r="N523" s="75"/>
      <c r="O523" s="102"/>
      <c r="P523" s="79"/>
      <c r="Q523" s="79"/>
      <c r="R523" s="79">
        <v>39</v>
      </c>
      <c r="S523" s="80" t="s">
        <v>268</v>
      </c>
      <c r="T523" s="104" t="s">
        <v>113</v>
      </c>
      <c r="U523" s="79" t="s">
        <v>1078</v>
      </c>
      <c r="V523" s="79" t="s">
        <v>731</v>
      </c>
      <c r="W523" s="87" t="s">
        <v>106</v>
      </c>
      <c r="X523" s="87" t="s">
        <v>104</v>
      </c>
    </row>
    <row r="524" spans="1:24" ht="25.5" hidden="1">
      <c r="A524" s="74" t="s">
        <v>1079</v>
      </c>
      <c r="B524" s="75"/>
      <c r="C524" s="75"/>
      <c r="D524" s="75"/>
      <c r="E524" s="75"/>
      <c r="F524" s="318"/>
      <c r="G524" s="407"/>
      <c r="H524" s="75"/>
      <c r="I524" s="412"/>
      <c r="J524" s="420"/>
      <c r="K524" s="75"/>
      <c r="L524" s="75"/>
      <c r="M524" s="75"/>
      <c r="N524" s="75"/>
      <c r="O524" s="102"/>
      <c r="P524" s="79"/>
      <c r="Q524" s="79"/>
      <c r="R524" s="79">
        <v>40</v>
      </c>
      <c r="S524" s="80" t="s">
        <v>1080</v>
      </c>
      <c r="T524" s="104" t="s">
        <v>113</v>
      </c>
      <c r="U524" s="79" t="s">
        <v>1081</v>
      </c>
      <c r="V524" s="79" t="s">
        <v>731</v>
      </c>
      <c r="W524" s="87" t="s">
        <v>106</v>
      </c>
      <c r="X524" s="87" t="s">
        <v>104</v>
      </c>
    </row>
    <row r="525" spans="1:24" hidden="1">
      <c r="A525" s="91" t="s">
        <v>1082</v>
      </c>
      <c r="B525" s="75"/>
      <c r="C525" s="75"/>
      <c r="D525" s="75"/>
      <c r="E525" s="75"/>
      <c r="F525" s="318"/>
      <c r="G525" s="407"/>
      <c r="H525" s="75"/>
      <c r="I525" s="412"/>
      <c r="J525" s="420"/>
      <c r="K525" s="75"/>
      <c r="L525" s="75"/>
      <c r="M525" s="75"/>
      <c r="N525" s="75"/>
      <c r="O525" s="102"/>
      <c r="P525" s="79"/>
      <c r="Q525" s="79"/>
      <c r="R525" s="79">
        <v>40</v>
      </c>
      <c r="S525" s="80" t="s">
        <v>1080</v>
      </c>
      <c r="T525" s="104" t="s">
        <v>113</v>
      </c>
      <c r="U525" s="79" t="s">
        <v>1083</v>
      </c>
      <c r="V525" s="79" t="s">
        <v>731</v>
      </c>
      <c r="W525" s="87" t="s">
        <v>106</v>
      </c>
      <c r="X525" s="87" t="s">
        <v>104</v>
      </c>
    </row>
    <row r="526" spans="1:24" ht="25.5" hidden="1">
      <c r="A526" s="91" t="s">
        <v>1084</v>
      </c>
      <c r="B526" s="75"/>
      <c r="C526" s="75"/>
      <c r="D526" s="75"/>
      <c r="E526" s="75"/>
      <c r="F526" s="318"/>
      <c r="G526" s="407"/>
      <c r="H526" s="75"/>
      <c r="I526" s="412"/>
      <c r="J526" s="420"/>
      <c r="K526" s="75"/>
      <c r="L526" s="75"/>
      <c r="M526" s="75"/>
      <c r="N526" s="75"/>
      <c r="O526" s="102"/>
      <c r="P526" s="79"/>
      <c r="Q526" s="79"/>
      <c r="R526" s="79">
        <v>40</v>
      </c>
      <c r="S526" s="80" t="s">
        <v>1080</v>
      </c>
      <c r="T526" s="104" t="s">
        <v>113</v>
      </c>
      <c r="U526" s="79" t="s">
        <v>1085</v>
      </c>
      <c r="V526" s="79" t="s">
        <v>731</v>
      </c>
      <c r="W526" s="87" t="s">
        <v>106</v>
      </c>
      <c r="X526" s="87" t="s">
        <v>104</v>
      </c>
    </row>
    <row r="527" spans="1:24" hidden="1">
      <c r="A527" s="91" t="s">
        <v>1086</v>
      </c>
      <c r="B527" s="75"/>
      <c r="C527" s="75"/>
      <c r="D527" s="75"/>
      <c r="E527" s="75"/>
      <c r="F527" s="318"/>
      <c r="G527" s="407"/>
      <c r="H527" s="75"/>
      <c r="I527" s="412"/>
      <c r="J527" s="420"/>
      <c r="K527" s="75"/>
      <c r="L527" s="75"/>
      <c r="M527" s="75"/>
      <c r="N527" s="75"/>
      <c r="O527" s="102"/>
      <c r="P527" s="79"/>
      <c r="Q527" s="79"/>
      <c r="R527" s="79">
        <v>44</v>
      </c>
      <c r="S527" s="80" t="s">
        <v>1080</v>
      </c>
      <c r="T527" s="104" t="s">
        <v>113</v>
      </c>
      <c r="U527" s="79" t="s">
        <v>1087</v>
      </c>
      <c r="V527" s="79" t="s">
        <v>731</v>
      </c>
      <c r="W527" s="87" t="s">
        <v>106</v>
      </c>
      <c r="X527" s="87" t="s">
        <v>104</v>
      </c>
    </row>
    <row r="528" spans="1:24" ht="25.5" hidden="1">
      <c r="A528" s="91" t="s">
        <v>1088</v>
      </c>
      <c r="B528" s="75"/>
      <c r="C528" s="75"/>
      <c r="D528" s="75"/>
      <c r="E528" s="75"/>
      <c r="F528" s="318"/>
      <c r="G528" s="407"/>
      <c r="H528" s="75"/>
      <c r="I528" s="412"/>
      <c r="J528" s="420"/>
      <c r="K528" s="75"/>
      <c r="L528" s="75"/>
      <c r="M528" s="75"/>
      <c r="N528" s="75"/>
      <c r="O528" s="102"/>
      <c r="P528" s="79"/>
      <c r="Q528" s="79"/>
      <c r="R528" s="79">
        <v>39</v>
      </c>
      <c r="S528" s="80" t="s">
        <v>1080</v>
      </c>
      <c r="T528" s="104" t="s">
        <v>113</v>
      </c>
      <c r="U528" s="79" t="s">
        <v>1089</v>
      </c>
      <c r="V528" s="79" t="s">
        <v>731</v>
      </c>
      <c r="W528" s="87" t="s">
        <v>106</v>
      </c>
      <c r="X528" s="87" t="s">
        <v>104</v>
      </c>
    </row>
    <row r="529" spans="1:24" hidden="1">
      <c r="A529" s="91" t="s">
        <v>1090</v>
      </c>
      <c r="B529" s="75"/>
      <c r="C529" s="75"/>
      <c r="D529" s="75"/>
      <c r="E529" s="75"/>
      <c r="F529" s="318"/>
      <c r="G529" s="407"/>
      <c r="H529" s="75"/>
      <c r="I529" s="412"/>
      <c r="J529" s="420"/>
      <c r="K529" s="75"/>
      <c r="L529" s="75"/>
      <c r="M529" s="75"/>
      <c r="N529" s="75"/>
      <c r="O529" s="102"/>
      <c r="P529" s="79"/>
      <c r="Q529" s="79"/>
      <c r="R529" s="79">
        <v>45</v>
      </c>
      <c r="S529" s="80" t="s">
        <v>1080</v>
      </c>
      <c r="T529" s="104" t="s">
        <v>113</v>
      </c>
      <c r="U529" s="79" t="s">
        <v>1091</v>
      </c>
      <c r="V529" s="79" t="s">
        <v>731</v>
      </c>
      <c r="W529" s="87" t="s">
        <v>106</v>
      </c>
      <c r="X529" s="87" t="s">
        <v>104</v>
      </c>
    </row>
    <row r="530" spans="1:24" ht="25.5" hidden="1">
      <c r="A530" s="91" t="s">
        <v>1092</v>
      </c>
      <c r="B530" s="75"/>
      <c r="C530" s="75"/>
      <c r="D530" s="75"/>
      <c r="E530" s="75"/>
      <c r="F530" s="318"/>
      <c r="G530" s="407"/>
      <c r="H530" s="75"/>
      <c r="I530" s="412"/>
      <c r="J530" s="420"/>
      <c r="K530" s="75"/>
      <c r="L530" s="75"/>
      <c r="M530" s="75"/>
      <c r="N530" s="75"/>
      <c r="O530" s="102"/>
      <c r="P530" s="79"/>
      <c r="Q530" s="79"/>
      <c r="R530" s="79">
        <v>43</v>
      </c>
      <c r="S530" s="80" t="s">
        <v>1080</v>
      </c>
      <c r="T530" s="104" t="s">
        <v>113</v>
      </c>
      <c r="U530" s="79" t="s">
        <v>1093</v>
      </c>
      <c r="V530" s="79" t="s">
        <v>731</v>
      </c>
      <c r="W530" s="87" t="s">
        <v>106</v>
      </c>
      <c r="X530" s="87" t="s">
        <v>104</v>
      </c>
    </row>
    <row r="531" spans="1:24" hidden="1">
      <c r="A531" s="91" t="s">
        <v>1094</v>
      </c>
      <c r="B531" s="75"/>
      <c r="C531" s="75"/>
      <c r="D531" s="75"/>
      <c r="E531" s="75"/>
      <c r="F531" s="318"/>
      <c r="G531" s="407"/>
      <c r="H531" s="75"/>
      <c r="I531" s="412"/>
      <c r="J531" s="420"/>
      <c r="K531" s="75"/>
      <c r="L531" s="75"/>
      <c r="M531" s="75"/>
      <c r="N531" s="75"/>
      <c r="O531" s="102"/>
      <c r="P531" s="79"/>
      <c r="Q531" s="79"/>
      <c r="R531" s="79">
        <v>39</v>
      </c>
      <c r="S531" s="80" t="s">
        <v>1080</v>
      </c>
      <c r="T531" s="104" t="s">
        <v>113</v>
      </c>
      <c r="U531" s="79" t="s">
        <v>1095</v>
      </c>
      <c r="V531" s="79" t="s">
        <v>731</v>
      </c>
      <c r="W531" s="87" t="s">
        <v>106</v>
      </c>
      <c r="X531" s="87" t="s">
        <v>104</v>
      </c>
    </row>
    <row r="532" spans="1:24" ht="25.5" hidden="1">
      <c r="A532" s="91" t="s">
        <v>1096</v>
      </c>
      <c r="B532" s="75"/>
      <c r="C532" s="75"/>
      <c r="D532" s="75"/>
      <c r="E532" s="75"/>
      <c r="F532" s="318"/>
      <c r="G532" s="407"/>
      <c r="H532" s="75"/>
      <c r="I532" s="412"/>
      <c r="J532" s="420"/>
      <c r="K532" s="75"/>
      <c r="L532" s="75"/>
      <c r="M532" s="75"/>
      <c r="N532" s="75"/>
      <c r="O532" s="102"/>
      <c r="P532" s="79"/>
      <c r="Q532" s="79"/>
      <c r="R532" s="79">
        <v>35</v>
      </c>
      <c r="S532" s="80" t="s">
        <v>1080</v>
      </c>
      <c r="T532" s="104" t="s">
        <v>113</v>
      </c>
      <c r="U532" s="79" t="s">
        <v>1097</v>
      </c>
      <c r="V532" s="79" t="s">
        <v>731</v>
      </c>
      <c r="W532" s="87" t="s">
        <v>106</v>
      </c>
      <c r="X532" s="87" t="s">
        <v>104</v>
      </c>
    </row>
    <row r="533" spans="1:24" hidden="1">
      <c r="A533" s="91" t="s">
        <v>1098</v>
      </c>
      <c r="B533" s="75"/>
      <c r="C533" s="75"/>
      <c r="D533" s="75"/>
      <c r="E533" s="75"/>
      <c r="F533" s="318"/>
      <c r="G533" s="407"/>
      <c r="H533" s="75"/>
      <c r="I533" s="412"/>
      <c r="J533" s="420"/>
      <c r="K533" s="75"/>
      <c r="L533" s="75"/>
      <c r="M533" s="75"/>
      <c r="N533" s="75"/>
      <c r="O533" s="102"/>
      <c r="P533" s="79"/>
      <c r="Q533" s="79"/>
      <c r="R533" s="79">
        <v>40</v>
      </c>
      <c r="S533" s="80" t="s">
        <v>1080</v>
      </c>
      <c r="T533" s="104" t="s">
        <v>113</v>
      </c>
      <c r="U533" s="79" t="s">
        <v>1099</v>
      </c>
      <c r="V533" s="79" t="s">
        <v>731</v>
      </c>
      <c r="W533" s="87" t="s">
        <v>106</v>
      </c>
      <c r="X533" s="87" t="s">
        <v>104</v>
      </c>
    </row>
    <row r="534" spans="1:24" ht="25.5" hidden="1">
      <c r="A534" s="91" t="s">
        <v>1100</v>
      </c>
      <c r="B534" s="75"/>
      <c r="C534" s="75"/>
      <c r="D534" s="75"/>
      <c r="E534" s="75"/>
      <c r="F534" s="318"/>
      <c r="G534" s="407"/>
      <c r="H534" s="75"/>
      <c r="I534" s="412"/>
      <c r="J534" s="420"/>
      <c r="K534" s="75"/>
      <c r="L534" s="75"/>
      <c r="M534" s="75"/>
      <c r="N534" s="75"/>
      <c r="O534" s="102"/>
      <c r="P534" s="79"/>
      <c r="Q534" s="79"/>
      <c r="R534" s="79">
        <v>44</v>
      </c>
      <c r="S534" s="80" t="s">
        <v>1080</v>
      </c>
      <c r="T534" s="104" t="s">
        <v>113</v>
      </c>
      <c r="U534" s="79" t="s">
        <v>1101</v>
      </c>
      <c r="V534" s="79" t="s">
        <v>731</v>
      </c>
      <c r="W534" s="87" t="s">
        <v>106</v>
      </c>
      <c r="X534" s="87" t="s">
        <v>104</v>
      </c>
    </row>
    <row r="535" spans="1:24" hidden="1">
      <c r="A535" s="91" t="s">
        <v>1102</v>
      </c>
      <c r="B535" s="75"/>
      <c r="C535" s="75"/>
      <c r="D535" s="75"/>
      <c r="E535" s="75"/>
      <c r="F535" s="318"/>
      <c r="G535" s="407"/>
      <c r="H535" s="75"/>
      <c r="I535" s="412"/>
      <c r="J535" s="420"/>
      <c r="K535" s="75"/>
      <c r="L535" s="75"/>
      <c r="M535" s="75"/>
      <c r="N535" s="75"/>
      <c r="O535" s="102"/>
      <c r="P535" s="79"/>
      <c r="Q535" s="79"/>
      <c r="R535" s="79">
        <v>38</v>
      </c>
      <c r="S535" s="80" t="s">
        <v>1080</v>
      </c>
      <c r="T535" s="104" t="s">
        <v>113</v>
      </c>
      <c r="U535" s="79" t="s">
        <v>1103</v>
      </c>
      <c r="V535" s="79" t="s">
        <v>731</v>
      </c>
      <c r="W535" s="87" t="s">
        <v>106</v>
      </c>
      <c r="X535" s="87" t="s">
        <v>104</v>
      </c>
    </row>
    <row r="536" spans="1:24" ht="25.5" hidden="1">
      <c r="A536" s="91" t="s">
        <v>1104</v>
      </c>
      <c r="B536" s="75"/>
      <c r="C536" s="75"/>
      <c r="D536" s="75"/>
      <c r="E536" s="75"/>
      <c r="F536" s="318"/>
      <c r="G536" s="407"/>
      <c r="H536" s="75"/>
      <c r="I536" s="412"/>
      <c r="J536" s="420"/>
      <c r="K536" s="75"/>
      <c r="L536" s="75"/>
      <c r="M536" s="75"/>
      <c r="N536" s="75"/>
      <c r="O536" s="102"/>
      <c r="P536" s="79"/>
      <c r="Q536" s="79"/>
      <c r="R536" s="79">
        <v>37</v>
      </c>
      <c r="S536" s="80" t="s">
        <v>1105</v>
      </c>
      <c r="T536" s="104" t="s">
        <v>113</v>
      </c>
      <c r="U536" s="79" t="s">
        <v>1106</v>
      </c>
      <c r="V536" s="79" t="s">
        <v>731</v>
      </c>
      <c r="W536" s="87" t="s">
        <v>106</v>
      </c>
      <c r="X536" s="87" t="s">
        <v>104</v>
      </c>
    </row>
    <row r="537" spans="1:24" ht="25.5" hidden="1">
      <c r="A537" s="91" t="s">
        <v>1107</v>
      </c>
      <c r="B537" s="75"/>
      <c r="C537" s="75"/>
      <c r="D537" s="75"/>
      <c r="E537" s="75"/>
      <c r="F537" s="318"/>
      <c r="G537" s="407"/>
      <c r="H537" s="75"/>
      <c r="I537" s="412"/>
      <c r="J537" s="420"/>
      <c r="K537" s="75"/>
      <c r="L537" s="75"/>
      <c r="M537" s="75"/>
      <c r="N537" s="75"/>
      <c r="O537" s="102"/>
      <c r="P537" s="79"/>
      <c r="Q537" s="79"/>
      <c r="R537" s="79">
        <v>39</v>
      </c>
      <c r="S537" s="80" t="s">
        <v>1108</v>
      </c>
      <c r="T537" s="104" t="s">
        <v>113</v>
      </c>
      <c r="U537" s="79" t="s">
        <v>1109</v>
      </c>
      <c r="V537" s="79" t="s">
        <v>731</v>
      </c>
      <c r="W537" s="87" t="s">
        <v>106</v>
      </c>
      <c r="X537" s="87" t="s">
        <v>104</v>
      </c>
    </row>
    <row r="538" spans="1:24" hidden="1">
      <c r="A538" s="91" t="s">
        <v>1110</v>
      </c>
      <c r="B538" s="75"/>
      <c r="C538" s="75"/>
      <c r="D538" s="75"/>
      <c r="E538" s="75"/>
      <c r="F538" s="318"/>
      <c r="G538" s="407"/>
      <c r="H538" s="75"/>
      <c r="I538" s="412"/>
      <c r="J538" s="420"/>
      <c r="K538" s="75"/>
      <c r="L538" s="75"/>
      <c r="M538" s="75"/>
      <c r="N538" s="75"/>
      <c r="O538" s="102"/>
      <c r="P538" s="79"/>
      <c r="Q538" s="79"/>
      <c r="R538" s="79">
        <v>44</v>
      </c>
      <c r="S538" s="80" t="s">
        <v>1108</v>
      </c>
      <c r="T538" s="104" t="s">
        <v>113</v>
      </c>
      <c r="U538" s="79" t="s">
        <v>1111</v>
      </c>
      <c r="V538" s="79" t="s">
        <v>731</v>
      </c>
      <c r="W538" s="87" t="s">
        <v>106</v>
      </c>
      <c r="X538" s="87" t="s">
        <v>104</v>
      </c>
    </row>
    <row r="539" spans="1:24" ht="25.5" hidden="1">
      <c r="A539" s="91" t="s">
        <v>1112</v>
      </c>
      <c r="B539" s="75"/>
      <c r="C539" s="75"/>
      <c r="D539" s="75"/>
      <c r="E539" s="75"/>
      <c r="F539" s="318"/>
      <c r="G539" s="407"/>
      <c r="H539" s="75"/>
      <c r="I539" s="412"/>
      <c r="J539" s="420"/>
      <c r="K539" s="75"/>
      <c r="L539" s="75"/>
      <c r="M539" s="75"/>
      <c r="N539" s="75"/>
      <c r="O539" s="102"/>
      <c r="P539" s="79"/>
      <c r="Q539" s="79"/>
      <c r="R539" s="79">
        <v>41</v>
      </c>
      <c r="S539" s="80" t="s">
        <v>1108</v>
      </c>
      <c r="T539" s="104" t="s">
        <v>113</v>
      </c>
      <c r="U539" s="79" t="s">
        <v>1113</v>
      </c>
      <c r="V539" s="79" t="s">
        <v>731</v>
      </c>
      <c r="W539" s="87" t="s">
        <v>106</v>
      </c>
      <c r="X539" s="87" t="s">
        <v>104</v>
      </c>
    </row>
    <row r="540" spans="1:24" hidden="1">
      <c r="A540" s="91" t="s">
        <v>1114</v>
      </c>
      <c r="B540" s="75"/>
      <c r="C540" s="75"/>
      <c r="D540" s="75"/>
      <c r="E540" s="75"/>
      <c r="F540" s="318"/>
      <c r="G540" s="407"/>
      <c r="H540" s="75"/>
      <c r="I540" s="412"/>
      <c r="J540" s="420"/>
      <c r="K540" s="75"/>
      <c r="L540" s="75"/>
      <c r="M540" s="75"/>
      <c r="N540" s="75"/>
      <c r="O540" s="102"/>
      <c r="P540" s="79"/>
      <c r="Q540" s="79"/>
      <c r="R540" s="79">
        <v>40</v>
      </c>
      <c r="S540" s="80" t="s">
        <v>1108</v>
      </c>
      <c r="T540" s="104" t="s">
        <v>113</v>
      </c>
      <c r="U540" s="79" t="s">
        <v>1115</v>
      </c>
      <c r="V540" s="79" t="s">
        <v>731</v>
      </c>
      <c r="W540" s="87" t="s">
        <v>106</v>
      </c>
      <c r="X540" s="87" t="s">
        <v>104</v>
      </c>
    </row>
    <row r="541" spans="1:24" ht="25.5" hidden="1">
      <c r="A541" s="91" t="s">
        <v>1116</v>
      </c>
      <c r="B541" s="75"/>
      <c r="C541" s="75"/>
      <c r="D541" s="75"/>
      <c r="E541" s="75"/>
      <c r="F541" s="318"/>
      <c r="G541" s="407"/>
      <c r="H541" s="75"/>
      <c r="I541" s="412"/>
      <c r="J541" s="420"/>
      <c r="K541" s="75"/>
      <c r="L541" s="75"/>
      <c r="M541" s="75"/>
      <c r="N541" s="75"/>
      <c r="O541" s="102"/>
      <c r="P541" s="79"/>
      <c r="Q541" s="79"/>
      <c r="R541" s="79">
        <v>39</v>
      </c>
      <c r="S541" s="80" t="s">
        <v>1108</v>
      </c>
      <c r="T541" s="104" t="s">
        <v>113</v>
      </c>
      <c r="U541" s="79" t="s">
        <v>1117</v>
      </c>
      <c r="V541" s="79" t="s">
        <v>731</v>
      </c>
      <c r="W541" s="87" t="s">
        <v>106</v>
      </c>
      <c r="X541" s="87" t="s">
        <v>104</v>
      </c>
    </row>
    <row r="542" spans="1:24" ht="25.5" hidden="1">
      <c r="A542" s="91" t="s">
        <v>1118</v>
      </c>
      <c r="B542" s="75"/>
      <c r="C542" s="75"/>
      <c r="D542" s="75"/>
      <c r="E542" s="75"/>
      <c r="F542" s="318"/>
      <c r="G542" s="407"/>
      <c r="H542" s="75"/>
      <c r="I542" s="412"/>
      <c r="J542" s="420"/>
      <c r="K542" s="75"/>
      <c r="L542" s="75"/>
      <c r="M542" s="75"/>
      <c r="N542" s="75"/>
      <c r="O542" s="102"/>
      <c r="P542" s="79"/>
      <c r="Q542" s="79"/>
      <c r="R542" s="79">
        <v>39</v>
      </c>
      <c r="S542" s="80" t="s">
        <v>1108</v>
      </c>
      <c r="T542" s="104" t="s">
        <v>113</v>
      </c>
      <c r="U542" s="79" t="s">
        <v>1119</v>
      </c>
      <c r="V542" s="79" t="s">
        <v>731</v>
      </c>
      <c r="W542" s="87" t="s">
        <v>106</v>
      </c>
      <c r="X542" s="87" t="s">
        <v>104</v>
      </c>
    </row>
    <row r="543" spans="1:24" hidden="1">
      <c r="A543" s="91" t="s">
        <v>1120</v>
      </c>
      <c r="B543" s="75"/>
      <c r="C543" s="75"/>
      <c r="D543" s="75"/>
      <c r="E543" s="75"/>
      <c r="F543" s="318"/>
      <c r="G543" s="407"/>
      <c r="H543" s="75"/>
      <c r="I543" s="412"/>
      <c r="J543" s="420"/>
      <c r="K543" s="75"/>
      <c r="L543" s="75"/>
      <c r="M543" s="75"/>
      <c r="N543" s="75"/>
      <c r="O543" s="102"/>
      <c r="P543" s="79"/>
      <c r="Q543" s="79"/>
      <c r="R543" s="79">
        <v>40</v>
      </c>
      <c r="S543" s="80" t="s">
        <v>1108</v>
      </c>
      <c r="T543" s="104" t="s">
        <v>113</v>
      </c>
      <c r="U543" s="79" t="s">
        <v>1121</v>
      </c>
      <c r="V543" s="79" t="s">
        <v>731</v>
      </c>
      <c r="W543" s="87" t="s">
        <v>106</v>
      </c>
      <c r="X543" s="87" t="s">
        <v>104</v>
      </c>
    </row>
    <row r="544" spans="1:24" ht="25.5" hidden="1">
      <c r="A544" s="91" t="s">
        <v>1122</v>
      </c>
      <c r="B544" s="75"/>
      <c r="C544" s="75"/>
      <c r="D544" s="75"/>
      <c r="E544" s="75"/>
      <c r="F544" s="318"/>
      <c r="G544" s="407"/>
      <c r="H544" s="75"/>
      <c r="I544" s="412"/>
      <c r="J544" s="420"/>
      <c r="K544" s="75"/>
      <c r="L544" s="75"/>
      <c r="M544" s="75"/>
      <c r="N544" s="75"/>
      <c r="O544" s="102"/>
      <c r="P544" s="79"/>
      <c r="Q544" s="79"/>
      <c r="R544" s="79">
        <v>41</v>
      </c>
      <c r="S544" s="80" t="s">
        <v>1108</v>
      </c>
      <c r="T544" s="104" t="s">
        <v>113</v>
      </c>
      <c r="U544" s="79" t="s">
        <v>1123</v>
      </c>
      <c r="V544" s="79" t="s">
        <v>731</v>
      </c>
      <c r="W544" s="87" t="s">
        <v>106</v>
      </c>
      <c r="X544" s="87" t="s">
        <v>104</v>
      </c>
    </row>
    <row r="545" spans="1:24" ht="25.5" hidden="1">
      <c r="A545" s="91" t="s">
        <v>1124</v>
      </c>
      <c r="B545" s="75"/>
      <c r="C545" s="75"/>
      <c r="D545" s="75"/>
      <c r="E545" s="75"/>
      <c r="F545" s="318"/>
      <c r="G545" s="407"/>
      <c r="H545" s="75"/>
      <c r="I545" s="412"/>
      <c r="J545" s="420"/>
      <c r="K545" s="75"/>
      <c r="L545" s="75"/>
      <c r="M545" s="75"/>
      <c r="N545" s="75"/>
      <c r="O545" s="102"/>
      <c r="P545" s="79"/>
      <c r="Q545" s="79"/>
      <c r="R545" s="79">
        <v>39</v>
      </c>
      <c r="S545" s="80" t="s">
        <v>1125</v>
      </c>
      <c r="T545" s="104" t="s">
        <v>113</v>
      </c>
      <c r="U545" s="79" t="s">
        <v>1126</v>
      </c>
      <c r="V545" s="79" t="s">
        <v>731</v>
      </c>
      <c r="W545" s="87" t="s">
        <v>106</v>
      </c>
      <c r="X545" s="87" t="s">
        <v>104</v>
      </c>
    </row>
    <row r="546" spans="1:24" hidden="1">
      <c r="A546" s="91" t="s">
        <v>1127</v>
      </c>
      <c r="B546" s="75"/>
      <c r="C546" s="75"/>
      <c r="D546" s="75"/>
      <c r="E546" s="75"/>
      <c r="F546" s="318"/>
      <c r="G546" s="407"/>
      <c r="H546" s="75"/>
      <c r="I546" s="412"/>
      <c r="J546" s="420"/>
      <c r="K546" s="75"/>
      <c r="L546" s="75"/>
      <c r="M546" s="75"/>
      <c r="N546" s="75"/>
      <c r="O546" s="102"/>
      <c r="P546" s="79"/>
      <c r="Q546" s="79"/>
      <c r="R546" s="79">
        <v>36</v>
      </c>
      <c r="S546" s="80" t="s">
        <v>1128</v>
      </c>
      <c r="T546" s="104" t="s">
        <v>113</v>
      </c>
      <c r="U546" s="79" t="s">
        <v>1129</v>
      </c>
      <c r="V546" s="79" t="s">
        <v>731</v>
      </c>
      <c r="W546" s="87" t="s">
        <v>106</v>
      </c>
      <c r="X546" s="87" t="s">
        <v>104</v>
      </c>
    </row>
    <row r="547" spans="1:24" ht="25.5" hidden="1">
      <c r="A547" s="91" t="s">
        <v>1130</v>
      </c>
      <c r="B547" s="75"/>
      <c r="C547" s="75"/>
      <c r="D547" s="75"/>
      <c r="E547" s="75"/>
      <c r="F547" s="318"/>
      <c r="G547" s="407"/>
      <c r="H547" s="75"/>
      <c r="I547" s="412"/>
      <c r="J547" s="420"/>
      <c r="K547" s="75"/>
      <c r="L547" s="75"/>
      <c r="M547" s="75"/>
      <c r="N547" s="75"/>
      <c r="O547" s="102"/>
      <c r="P547" s="79"/>
      <c r="Q547" s="79"/>
      <c r="R547" s="79">
        <v>43</v>
      </c>
      <c r="S547" s="80" t="s">
        <v>1128</v>
      </c>
      <c r="T547" s="104" t="s">
        <v>113</v>
      </c>
      <c r="U547" s="79" t="s">
        <v>1131</v>
      </c>
      <c r="V547" s="79" t="s">
        <v>731</v>
      </c>
      <c r="W547" s="87" t="s">
        <v>106</v>
      </c>
      <c r="X547" s="87" t="s">
        <v>104</v>
      </c>
    </row>
    <row r="548" spans="1:24" hidden="1">
      <c r="A548" s="91" t="s">
        <v>1132</v>
      </c>
      <c r="B548" s="75"/>
      <c r="C548" s="75"/>
      <c r="D548" s="75"/>
      <c r="E548" s="75"/>
      <c r="F548" s="318"/>
      <c r="G548" s="407"/>
      <c r="H548" s="75"/>
      <c r="I548" s="412"/>
      <c r="J548" s="420"/>
      <c r="K548" s="75"/>
      <c r="L548" s="75"/>
      <c r="M548" s="75"/>
      <c r="N548" s="75"/>
      <c r="O548" s="102"/>
      <c r="P548" s="79"/>
      <c r="Q548" s="79"/>
      <c r="R548" s="79">
        <v>38</v>
      </c>
      <c r="S548" s="80" t="s">
        <v>1128</v>
      </c>
      <c r="T548" s="104" t="s">
        <v>113</v>
      </c>
      <c r="U548" s="79" t="s">
        <v>1133</v>
      </c>
      <c r="V548" s="79" t="s">
        <v>731</v>
      </c>
      <c r="W548" s="87" t="s">
        <v>106</v>
      </c>
      <c r="X548" s="87" t="s">
        <v>104</v>
      </c>
    </row>
    <row r="549" spans="1:24" hidden="1">
      <c r="A549" s="91" t="s">
        <v>1132</v>
      </c>
      <c r="B549" s="75"/>
      <c r="C549" s="75"/>
      <c r="D549" s="75"/>
      <c r="E549" s="75"/>
      <c r="F549" s="318"/>
      <c r="G549" s="407"/>
      <c r="H549" s="75"/>
      <c r="I549" s="412"/>
      <c r="J549" s="420"/>
      <c r="K549" s="75"/>
      <c r="L549" s="75"/>
      <c r="M549" s="75"/>
      <c r="N549" s="75"/>
      <c r="O549" s="102"/>
      <c r="P549" s="79"/>
      <c r="Q549" s="79"/>
      <c r="R549" s="79">
        <v>43</v>
      </c>
      <c r="S549" s="80" t="s">
        <v>1128</v>
      </c>
      <c r="T549" s="104" t="s">
        <v>113</v>
      </c>
      <c r="U549" s="79" t="s">
        <v>1134</v>
      </c>
      <c r="V549" s="79" t="s">
        <v>731</v>
      </c>
      <c r="W549" s="87" t="s">
        <v>106</v>
      </c>
      <c r="X549" s="87" t="s">
        <v>104</v>
      </c>
    </row>
    <row r="550" spans="1:24" hidden="1">
      <c r="A550" s="91" t="s">
        <v>1135</v>
      </c>
      <c r="B550" s="75"/>
      <c r="C550" s="75"/>
      <c r="D550" s="75"/>
      <c r="E550" s="75"/>
      <c r="F550" s="318"/>
      <c r="G550" s="407"/>
      <c r="H550" s="75"/>
      <c r="I550" s="412"/>
      <c r="J550" s="420"/>
      <c r="K550" s="75"/>
      <c r="L550" s="75"/>
      <c r="M550" s="75"/>
      <c r="N550" s="75"/>
      <c r="O550" s="102"/>
      <c r="P550" s="79"/>
      <c r="Q550" s="79"/>
      <c r="R550" s="79">
        <v>45</v>
      </c>
      <c r="S550" s="80" t="s">
        <v>1128</v>
      </c>
      <c r="T550" s="104" t="s">
        <v>113</v>
      </c>
      <c r="U550" s="79" t="s">
        <v>1136</v>
      </c>
      <c r="V550" s="79" t="s">
        <v>731</v>
      </c>
      <c r="W550" s="87" t="s">
        <v>106</v>
      </c>
      <c r="X550" s="87" t="s">
        <v>104</v>
      </c>
    </row>
    <row r="551" spans="1:24" hidden="1">
      <c r="A551" s="91" t="s">
        <v>1135</v>
      </c>
      <c r="B551" s="75"/>
      <c r="C551" s="75"/>
      <c r="D551" s="75"/>
      <c r="E551" s="75"/>
      <c r="F551" s="318"/>
      <c r="G551" s="407"/>
      <c r="H551" s="75"/>
      <c r="I551" s="412"/>
      <c r="J551" s="420"/>
      <c r="K551" s="75"/>
      <c r="L551" s="75"/>
      <c r="M551" s="75"/>
      <c r="N551" s="75"/>
      <c r="O551" s="102"/>
      <c r="P551" s="79"/>
      <c r="Q551" s="79"/>
      <c r="R551" s="79">
        <v>37</v>
      </c>
      <c r="S551" s="80" t="s">
        <v>1128</v>
      </c>
      <c r="T551" s="104" t="s">
        <v>113</v>
      </c>
      <c r="U551" s="79" t="s">
        <v>1137</v>
      </c>
      <c r="V551" s="79" t="s">
        <v>731</v>
      </c>
      <c r="W551" s="87" t="s">
        <v>106</v>
      </c>
      <c r="X551" s="87" t="s">
        <v>104</v>
      </c>
    </row>
    <row r="552" spans="1:24" ht="25.5" hidden="1">
      <c r="A552" s="91" t="s">
        <v>1138</v>
      </c>
      <c r="B552" s="75"/>
      <c r="C552" s="75"/>
      <c r="D552" s="75"/>
      <c r="E552" s="75"/>
      <c r="F552" s="318"/>
      <c r="G552" s="407"/>
      <c r="H552" s="75"/>
      <c r="I552" s="412"/>
      <c r="J552" s="420"/>
      <c r="K552" s="75"/>
      <c r="L552" s="75"/>
      <c r="M552" s="75"/>
      <c r="N552" s="75"/>
      <c r="O552" s="102"/>
      <c r="P552" s="79"/>
      <c r="Q552" s="79"/>
      <c r="R552" s="79">
        <v>41</v>
      </c>
      <c r="S552" s="80" t="s">
        <v>1128</v>
      </c>
      <c r="T552" s="104" t="s">
        <v>113</v>
      </c>
      <c r="U552" s="79" t="s">
        <v>1139</v>
      </c>
      <c r="V552" s="79" t="s">
        <v>731</v>
      </c>
      <c r="W552" s="87" t="s">
        <v>106</v>
      </c>
      <c r="X552" s="87" t="s">
        <v>104</v>
      </c>
    </row>
    <row r="553" spans="1:24" hidden="1">
      <c r="A553" s="91" t="s">
        <v>1140</v>
      </c>
      <c r="B553" s="75"/>
      <c r="C553" s="75"/>
      <c r="D553" s="75"/>
      <c r="E553" s="75"/>
      <c r="F553" s="318"/>
      <c r="G553" s="407"/>
      <c r="H553" s="75"/>
      <c r="I553" s="412"/>
      <c r="J553" s="420"/>
      <c r="K553" s="75"/>
      <c r="L553" s="75"/>
      <c r="M553" s="75"/>
      <c r="N553" s="75"/>
      <c r="O553" s="102"/>
      <c r="P553" s="79"/>
      <c r="Q553" s="79"/>
      <c r="R553" s="79">
        <v>44</v>
      </c>
      <c r="S553" s="80" t="s">
        <v>1128</v>
      </c>
      <c r="T553" s="104" t="s">
        <v>113</v>
      </c>
      <c r="U553" s="79" t="s">
        <v>1141</v>
      </c>
      <c r="V553" s="79" t="s">
        <v>731</v>
      </c>
      <c r="W553" s="87" t="s">
        <v>106</v>
      </c>
      <c r="X553" s="87" t="s">
        <v>104</v>
      </c>
    </row>
    <row r="554" spans="1:24" ht="25.5" hidden="1">
      <c r="A554" s="91" t="s">
        <v>1142</v>
      </c>
      <c r="B554" s="75"/>
      <c r="C554" s="75"/>
      <c r="D554" s="75"/>
      <c r="E554" s="75"/>
      <c r="F554" s="318"/>
      <c r="G554" s="407"/>
      <c r="H554" s="75"/>
      <c r="I554" s="412"/>
      <c r="J554" s="420"/>
      <c r="K554" s="75"/>
      <c r="L554" s="75"/>
      <c r="M554" s="75"/>
      <c r="N554" s="75"/>
      <c r="O554" s="102"/>
      <c r="P554" s="79"/>
      <c r="Q554" s="79"/>
      <c r="R554" s="79">
        <v>42</v>
      </c>
      <c r="S554" s="80" t="s">
        <v>1128</v>
      </c>
      <c r="T554" s="104" t="s">
        <v>113</v>
      </c>
      <c r="U554" s="79" t="s">
        <v>1143</v>
      </c>
      <c r="V554" s="79" t="s">
        <v>731</v>
      </c>
      <c r="W554" s="87" t="s">
        <v>106</v>
      </c>
      <c r="X554" s="87" t="s">
        <v>104</v>
      </c>
    </row>
    <row r="555" spans="1:24" hidden="1">
      <c r="A555" s="91" t="s">
        <v>1144</v>
      </c>
      <c r="B555" s="75"/>
      <c r="C555" s="75"/>
      <c r="D555" s="75"/>
      <c r="E555" s="75"/>
      <c r="F555" s="318"/>
      <c r="G555" s="407"/>
      <c r="H555" s="75"/>
      <c r="I555" s="412"/>
      <c r="J555" s="420"/>
      <c r="K555" s="75"/>
      <c r="L555" s="75"/>
      <c r="M555" s="75"/>
      <c r="N555" s="75"/>
      <c r="O555" s="102"/>
      <c r="P555" s="79"/>
      <c r="Q555" s="79"/>
      <c r="R555" s="79">
        <v>45</v>
      </c>
      <c r="S555" s="114" t="s">
        <v>1128</v>
      </c>
      <c r="T555" s="104" t="s">
        <v>113</v>
      </c>
      <c r="U555" s="79" t="s">
        <v>1145</v>
      </c>
      <c r="V555" s="79" t="s">
        <v>731</v>
      </c>
      <c r="W555" s="87" t="s">
        <v>106</v>
      </c>
      <c r="X555" s="87" t="s">
        <v>104</v>
      </c>
    </row>
    <row r="556" spans="1:24" ht="25.5" hidden="1">
      <c r="A556" s="91" t="s">
        <v>1146</v>
      </c>
      <c r="B556" s="75"/>
      <c r="C556" s="75"/>
      <c r="D556" s="75"/>
      <c r="E556" s="75"/>
      <c r="F556" s="318"/>
      <c r="G556" s="407"/>
      <c r="H556" s="75"/>
      <c r="I556" s="412"/>
      <c r="J556" s="420"/>
      <c r="K556" s="75"/>
      <c r="L556" s="75"/>
      <c r="M556" s="75"/>
      <c r="N556" s="75"/>
      <c r="O556" s="102"/>
      <c r="P556" s="79"/>
      <c r="Q556" s="79"/>
      <c r="R556" s="79">
        <v>42</v>
      </c>
      <c r="S556" s="114" t="s">
        <v>1128</v>
      </c>
      <c r="T556" s="104" t="s">
        <v>113</v>
      </c>
      <c r="U556" s="79" t="s">
        <v>1147</v>
      </c>
      <c r="V556" s="79" t="s">
        <v>731</v>
      </c>
      <c r="W556" s="87" t="s">
        <v>106</v>
      </c>
      <c r="X556" s="87" t="s">
        <v>104</v>
      </c>
    </row>
    <row r="557" spans="1:24" hidden="1">
      <c r="A557" s="91" t="s">
        <v>1148</v>
      </c>
      <c r="B557" s="75"/>
      <c r="C557" s="75"/>
      <c r="D557" s="75"/>
      <c r="E557" s="75"/>
      <c r="F557" s="318"/>
      <c r="G557" s="407"/>
      <c r="H557" s="75"/>
      <c r="I557" s="412"/>
      <c r="J557" s="420"/>
      <c r="K557" s="75"/>
      <c r="L557" s="75"/>
      <c r="M557" s="75"/>
      <c r="N557" s="75"/>
      <c r="O557" s="102"/>
      <c r="P557" s="79"/>
      <c r="Q557" s="79"/>
      <c r="R557" s="79">
        <v>37</v>
      </c>
      <c r="S557" s="114" t="s">
        <v>1128</v>
      </c>
      <c r="T557" s="104" t="s">
        <v>113</v>
      </c>
      <c r="U557" s="79" t="s">
        <v>1149</v>
      </c>
      <c r="V557" s="79" t="s">
        <v>731</v>
      </c>
      <c r="W557" s="87" t="s">
        <v>106</v>
      </c>
      <c r="X557" s="87" t="s">
        <v>104</v>
      </c>
    </row>
    <row r="558" spans="1:24" ht="25.5" hidden="1">
      <c r="A558" s="91" t="s">
        <v>1150</v>
      </c>
      <c r="B558" s="75"/>
      <c r="C558" s="75"/>
      <c r="D558" s="75"/>
      <c r="E558" s="75"/>
      <c r="F558" s="318"/>
      <c r="G558" s="407"/>
      <c r="H558" s="75"/>
      <c r="I558" s="412"/>
      <c r="J558" s="420"/>
      <c r="K558" s="75"/>
      <c r="L558" s="75"/>
      <c r="M558" s="75"/>
      <c r="N558" s="75"/>
      <c r="O558" s="102"/>
      <c r="P558" s="79"/>
      <c r="Q558" s="79"/>
      <c r="R558" s="79">
        <v>43</v>
      </c>
      <c r="S558" s="114" t="s">
        <v>1128</v>
      </c>
      <c r="T558" s="104" t="s">
        <v>113</v>
      </c>
      <c r="U558" s="79" t="s">
        <v>1151</v>
      </c>
      <c r="V558" s="79" t="s">
        <v>731</v>
      </c>
      <c r="W558" s="87" t="s">
        <v>106</v>
      </c>
      <c r="X558" s="87" t="s">
        <v>104</v>
      </c>
    </row>
    <row r="559" spans="1:24" hidden="1">
      <c r="A559" s="91" t="s">
        <v>1152</v>
      </c>
      <c r="B559" s="75"/>
      <c r="C559" s="75"/>
      <c r="D559" s="75"/>
      <c r="E559" s="75"/>
      <c r="F559" s="318"/>
      <c r="G559" s="407"/>
      <c r="H559" s="75"/>
      <c r="I559" s="412"/>
      <c r="J559" s="420"/>
      <c r="K559" s="75"/>
      <c r="L559" s="75"/>
      <c r="M559" s="75"/>
      <c r="N559" s="75"/>
      <c r="O559" s="102"/>
      <c r="P559" s="79"/>
      <c r="Q559" s="79"/>
      <c r="R559" s="79">
        <v>41</v>
      </c>
      <c r="S559" s="114" t="s">
        <v>1128</v>
      </c>
      <c r="T559" s="104" t="s">
        <v>113</v>
      </c>
      <c r="U559" s="79" t="s">
        <v>1153</v>
      </c>
      <c r="V559" s="79" t="s">
        <v>731</v>
      </c>
      <c r="W559" s="87" t="s">
        <v>106</v>
      </c>
      <c r="X559" s="87" t="s">
        <v>104</v>
      </c>
    </row>
    <row r="560" spans="1:24" ht="25.5" hidden="1">
      <c r="A560" s="91" t="s">
        <v>1154</v>
      </c>
      <c r="B560" s="75"/>
      <c r="C560" s="75"/>
      <c r="D560" s="75"/>
      <c r="E560" s="75"/>
      <c r="F560" s="318"/>
      <c r="G560" s="407"/>
      <c r="H560" s="75"/>
      <c r="I560" s="412"/>
      <c r="J560" s="420"/>
      <c r="K560" s="75"/>
      <c r="L560" s="75"/>
      <c r="M560" s="75"/>
      <c r="N560" s="75"/>
      <c r="O560" s="102"/>
      <c r="P560" s="79"/>
      <c r="Q560" s="79"/>
      <c r="R560" s="79">
        <v>38</v>
      </c>
      <c r="S560" s="114" t="s">
        <v>1128</v>
      </c>
      <c r="T560" s="104" t="s">
        <v>113</v>
      </c>
      <c r="U560" s="79" t="s">
        <v>1155</v>
      </c>
      <c r="V560" s="79" t="s">
        <v>731</v>
      </c>
      <c r="W560" s="87" t="s">
        <v>106</v>
      </c>
      <c r="X560" s="87" t="s">
        <v>104</v>
      </c>
    </row>
    <row r="561" spans="1:24" ht="25.5" hidden="1">
      <c r="A561" s="91" t="s">
        <v>1156</v>
      </c>
      <c r="B561" s="75"/>
      <c r="C561" s="75"/>
      <c r="D561" s="75"/>
      <c r="E561" s="75"/>
      <c r="F561" s="318"/>
      <c r="G561" s="407"/>
      <c r="H561" s="75"/>
      <c r="I561" s="412"/>
      <c r="J561" s="420"/>
      <c r="K561" s="75"/>
      <c r="L561" s="75"/>
      <c r="M561" s="75"/>
      <c r="N561" s="75"/>
      <c r="O561" s="102"/>
      <c r="P561" s="79"/>
      <c r="Q561" s="79"/>
      <c r="R561" s="79">
        <v>42</v>
      </c>
      <c r="S561" s="114" t="s">
        <v>1157</v>
      </c>
      <c r="T561" s="104" t="s">
        <v>113</v>
      </c>
      <c r="U561" s="79" t="s">
        <v>1158</v>
      </c>
      <c r="V561" s="79" t="s">
        <v>731</v>
      </c>
      <c r="W561" s="87" t="s">
        <v>106</v>
      </c>
      <c r="X561" s="87" t="s">
        <v>104</v>
      </c>
    </row>
    <row r="562" spans="1:24" ht="25.5" hidden="1">
      <c r="A562" s="91" t="s">
        <v>1159</v>
      </c>
      <c r="B562" s="75"/>
      <c r="C562" s="75"/>
      <c r="D562" s="75"/>
      <c r="E562" s="75"/>
      <c r="F562" s="318"/>
      <c r="G562" s="407"/>
      <c r="H562" s="75"/>
      <c r="I562" s="412"/>
      <c r="J562" s="420"/>
      <c r="K562" s="75"/>
      <c r="L562" s="75"/>
      <c r="M562" s="75"/>
      <c r="N562" s="75"/>
      <c r="O562" s="102"/>
      <c r="P562" s="79"/>
      <c r="Q562" s="79"/>
      <c r="R562" s="79">
        <v>37</v>
      </c>
      <c r="S562" s="114" t="s">
        <v>1160</v>
      </c>
      <c r="T562" s="104" t="s">
        <v>113</v>
      </c>
      <c r="U562" s="79" t="s">
        <v>1161</v>
      </c>
      <c r="V562" s="79" t="s">
        <v>731</v>
      </c>
      <c r="W562" s="87" t="s">
        <v>106</v>
      </c>
      <c r="X562" s="87" t="s">
        <v>104</v>
      </c>
    </row>
    <row r="563" spans="1:24" hidden="1">
      <c r="A563" s="91" t="s">
        <v>1162</v>
      </c>
      <c r="B563" s="75"/>
      <c r="C563" s="75"/>
      <c r="D563" s="75"/>
      <c r="E563" s="75"/>
      <c r="F563" s="318"/>
      <c r="G563" s="407"/>
      <c r="H563" s="75"/>
      <c r="I563" s="412"/>
      <c r="J563" s="420"/>
      <c r="K563" s="75"/>
      <c r="L563" s="75"/>
      <c r="M563" s="75"/>
      <c r="N563" s="75"/>
      <c r="O563" s="102"/>
      <c r="P563" s="79"/>
      <c r="Q563" s="79"/>
      <c r="R563" s="79">
        <v>42</v>
      </c>
      <c r="S563" s="114" t="s">
        <v>1160</v>
      </c>
      <c r="T563" s="104" t="s">
        <v>113</v>
      </c>
      <c r="U563" s="79" t="s">
        <v>1163</v>
      </c>
      <c r="V563" s="79" t="s">
        <v>731</v>
      </c>
      <c r="W563" s="87" t="s">
        <v>106</v>
      </c>
      <c r="X563" s="87" t="s">
        <v>104</v>
      </c>
    </row>
    <row r="564" spans="1:24" ht="25.5" hidden="1">
      <c r="A564" s="91" t="s">
        <v>1164</v>
      </c>
      <c r="B564" s="75"/>
      <c r="C564" s="75"/>
      <c r="D564" s="75"/>
      <c r="E564" s="75"/>
      <c r="F564" s="318"/>
      <c r="G564" s="407"/>
      <c r="H564" s="75"/>
      <c r="I564" s="412"/>
      <c r="J564" s="420"/>
      <c r="K564" s="75"/>
      <c r="L564" s="75"/>
      <c r="M564" s="75"/>
      <c r="N564" s="75"/>
      <c r="O564" s="102"/>
      <c r="P564" s="79"/>
      <c r="Q564" s="79"/>
      <c r="R564" s="79">
        <v>40</v>
      </c>
      <c r="S564" s="114" t="s">
        <v>1165</v>
      </c>
      <c r="T564" s="104" t="s">
        <v>113</v>
      </c>
      <c r="U564" s="79" t="s">
        <v>1166</v>
      </c>
      <c r="V564" s="79" t="s">
        <v>731</v>
      </c>
      <c r="W564" s="87" t="s">
        <v>106</v>
      </c>
      <c r="X564" s="87" t="s">
        <v>104</v>
      </c>
    </row>
    <row r="565" spans="1:24" hidden="1">
      <c r="A565" s="91" t="s">
        <v>1167</v>
      </c>
      <c r="B565" s="75"/>
      <c r="C565" s="75"/>
      <c r="D565" s="75"/>
      <c r="E565" s="75"/>
      <c r="F565" s="318"/>
      <c r="G565" s="407"/>
      <c r="H565" s="75"/>
      <c r="I565" s="412"/>
      <c r="J565" s="420"/>
      <c r="K565" s="75"/>
      <c r="L565" s="75"/>
      <c r="M565" s="75"/>
      <c r="N565" s="75"/>
      <c r="O565" s="102"/>
      <c r="P565" s="79"/>
      <c r="Q565" s="79"/>
      <c r="R565" s="79">
        <v>49</v>
      </c>
      <c r="S565" s="114" t="s">
        <v>1168</v>
      </c>
      <c r="T565" s="104" t="s">
        <v>113</v>
      </c>
      <c r="U565" s="79" t="s">
        <v>1169</v>
      </c>
      <c r="V565" s="79" t="s">
        <v>731</v>
      </c>
      <c r="W565" s="87" t="s">
        <v>106</v>
      </c>
      <c r="X565" s="87" t="s">
        <v>104</v>
      </c>
    </row>
    <row r="566" spans="1:24" hidden="1">
      <c r="A566" s="91" t="s">
        <v>1167</v>
      </c>
      <c r="B566" s="75"/>
      <c r="C566" s="75"/>
      <c r="D566" s="75"/>
      <c r="E566" s="75"/>
      <c r="F566" s="318"/>
      <c r="G566" s="407"/>
      <c r="H566" s="75"/>
      <c r="I566" s="412"/>
      <c r="J566" s="420"/>
      <c r="K566" s="75"/>
      <c r="L566" s="75"/>
      <c r="M566" s="75"/>
      <c r="N566" s="75"/>
      <c r="O566" s="102"/>
      <c r="P566" s="79"/>
      <c r="Q566" s="79"/>
      <c r="R566" s="79">
        <v>34</v>
      </c>
      <c r="S566" s="114" t="s">
        <v>1168</v>
      </c>
      <c r="T566" s="104" t="s">
        <v>113</v>
      </c>
      <c r="U566" s="79" t="s">
        <v>1170</v>
      </c>
      <c r="V566" s="79" t="s">
        <v>731</v>
      </c>
      <c r="W566" s="87" t="s">
        <v>106</v>
      </c>
      <c r="X566" s="87" t="s">
        <v>104</v>
      </c>
    </row>
    <row r="567" spans="1:24" hidden="1">
      <c r="A567" s="91" t="s">
        <v>1167</v>
      </c>
      <c r="B567" s="75"/>
      <c r="C567" s="75"/>
      <c r="D567" s="75"/>
      <c r="E567" s="75"/>
      <c r="F567" s="318"/>
      <c r="G567" s="407"/>
      <c r="H567" s="75"/>
      <c r="I567" s="412"/>
      <c r="J567" s="420"/>
      <c r="K567" s="75"/>
      <c r="L567" s="75"/>
      <c r="M567" s="75"/>
      <c r="N567" s="75"/>
      <c r="O567" s="102"/>
      <c r="P567" s="79"/>
      <c r="Q567" s="79"/>
      <c r="R567" s="79">
        <v>39</v>
      </c>
      <c r="S567" s="114" t="s">
        <v>1168</v>
      </c>
      <c r="T567" s="104" t="s">
        <v>113</v>
      </c>
      <c r="U567" s="79" t="s">
        <v>1171</v>
      </c>
      <c r="V567" s="79" t="s">
        <v>731</v>
      </c>
      <c r="W567" s="87" t="s">
        <v>106</v>
      </c>
      <c r="X567" s="87" t="s">
        <v>104</v>
      </c>
    </row>
    <row r="568" spans="1:24" hidden="1">
      <c r="A568" s="91" t="s">
        <v>1172</v>
      </c>
      <c r="B568" s="75"/>
      <c r="C568" s="75"/>
      <c r="D568" s="75"/>
      <c r="E568" s="75"/>
      <c r="F568" s="318"/>
      <c r="G568" s="407"/>
      <c r="H568" s="75"/>
      <c r="I568" s="412"/>
      <c r="J568" s="420"/>
      <c r="K568" s="75"/>
      <c r="L568" s="75"/>
      <c r="M568" s="75"/>
      <c r="N568" s="75"/>
      <c r="O568" s="102"/>
      <c r="P568" s="79"/>
      <c r="Q568" s="79"/>
      <c r="R568" s="79">
        <v>40</v>
      </c>
      <c r="S568" s="114" t="s">
        <v>1168</v>
      </c>
      <c r="T568" s="104" t="s">
        <v>113</v>
      </c>
      <c r="U568" s="79" t="s">
        <v>1173</v>
      </c>
      <c r="V568" s="79" t="s">
        <v>731</v>
      </c>
      <c r="W568" s="87" t="s">
        <v>106</v>
      </c>
      <c r="X568" s="87" t="s">
        <v>104</v>
      </c>
    </row>
    <row r="569" spans="1:24" hidden="1">
      <c r="A569" s="91" t="s">
        <v>1172</v>
      </c>
      <c r="B569" s="75"/>
      <c r="C569" s="75"/>
      <c r="D569" s="75"/>
      <c r="E569" s="75"/>
      <c r="F569" s="318"/>
      <c r="G569" s="407"/>
      <c r="H569" s="75"/>
      <c r="I569" s="412"/>
      <c r="J569" s="420"/>
      <c r="K569" s="75"/>
      <c r="L569" s="75"/>
      <c r="M569" s="75"/>
      <c r="N569" s="75"/>
      <c r="O569" s="102"/>
      <c r="P569" s="79"/>
      <c r="Q569" s="79"/>
      <c r="R569" s="79">
        <v>49</v>
      </c>
      <c r="S569" s="114" t="s">
        <v>1168</v>
      </c>
      <c r="T569" s="104" t="s">
        <v>113</v>
      </c>
      <c r="U569" s="79" t="s">
        <v>1174</v>
      </c>
      <c r="V569" s="79" t="s">
        <v>731</v>
      </c>
      <c r="W569" s="87" t="s">
        <v>106</v>
      </c>
      <c r="X569" s="87" t="s">
        <v>104</v>
      </c>
    </row>
    <row r="570" spans="1:24" hidden="1">
      <c r="A570" s="91" t="s">
        <v>1172</v>
      </c>
      <c r="B570" s="75"/>
      <c r="C570" s="75"/>
      <c r="D570" s="75"/>
      <c r="E570" s="75"/>
      <c r="F570" s="318"/>
      <c r="G570" s="407"/>
      <c r="H570" s="75"/>
      <c r="I570" s="412"/>
      <c r="J570" s="420"/>
      <c r="K570" s="75"/>
      <c r="L570" s="75"/>
      <c r="M570" s="75"/>
      <c r="N570" s="75"/>
      <c r="O570" s="102"/>
      <c r="P570" s="79"/>
      <c r="Q570" s="79"/>
      <c r="R570" s="79">
        <v>42</v>
      </c>
      <c r="S570" s="114" t="s">
        <v>1168</v>
      </c>
      <c r="T570" s="104" t="s">
        <v>113</v>
      </c>
      <c r="U570" s="79" t="s">
        <v>1175</v>
      </c>
      <c r="V570" s="79" t="s">
        <v>731</v>
      </c>
      <c r="W570" s="87" t="s">
        <v>106</v>
      </c>
      <c r="X570" s="87" t="s">
        <v>104</v>
      </c>
    </row>
    <row r="571" spans="1:24" hidden="1">
      <c r="A571" s="91" t="s">
        <v>1172</v>
      </c>
      <c r="B571" s="75"/>
      <c r="C571" s="75"/>
      <c r="D571" s="75"/>
      <c r="E571" s="75"/>
      <c r="F571" s="318"/>
      <c r="G571" s="407"/>
      <c r="H571" s="75"/>
      <c r="I571" s="412"/>
      <c r="J571" s="420"/>
      <c r="K571" s="75"/>
      <c r="L571" s="75"/>
      <c r="M571" s="75"/>
      <c r="N571" s="75"/>
      <c r="O571" s="102"/>
      <c r="P571" s="79"/>
      <c r="Q571" s="79"/>
      <c r="R571" s="79">
        <v>37</v>
      </c>
      <c r="S571" s="114" t="s">
        <v>1168</v>
      </c>
      <c r="T571" s="104" t="s">
        <v>113</v>
      </c>
      <c r="U571" s="79" t="s">
        <v>1176</v>
      </c>
      <c r="V571" s="79" t="s">
        <v>731</v>
      </c>
      <c r="W571" s="87" t="s">
        <v>106</v>
      </c>
      <c r="X571" s="87" t="s">
        <v>104</v>
      </c>
    </row>
    <row r="572" spans="1:24" hidden="1">
      <c r="A572" s="91" t="s">
        <v>1177</v>
      </c>
      <c r="B572" s="75"/>
      <c r="C572" s="75"/>
      <c r="D572" s="75"/>
      <c r="E572" s="75"/>
      <c r="F572" s="318"/>
      <c r="G572" s="407"/>
      <c r="H572" s="75"/>
      <c r="I572" s="412"/>
      <c r="J572" s="420"/>
      <c r="K572" s="75"/>
      <c r="L572" s="75"/>
      <c r="M572" s="75"/>
      <c r="N572" s="75"/>
      <c r="O572" s="102"/>
      <c r="P572" s="79"/>
      <c r="Q572" s="79"/>
      <c r="R572" s="79">
        <v>46</v>
      </c>
      <c r="S572" s="80" t="s">
        <v>1168</v>
      </c>
      <c r="T572" s="104" t="s">
        <v>113</v>
      </c>
      <c r="U572" s="79" t="s">
        <v>1178</v>
      </c>
      <c r="V572" s="79" t="s">
        <v>731</v>
      </c>
      <c r="W572" s="87" t="s">
        <v>106</v>
      </c>
      <c r="X572" s="87" t="s">
        <v>104</v>
      </c>
    </row>
    <row r="573" spans="1:24" hidden="1">
      <c r="A573" s="91" t="s">
        <v>1177</v>
      </c>
      <c r="B573" s="75"/>
      <c r="C573" s="75"/>
      <c r="D573" s="75"/>
      <c r="E573" s="75"/>
      <c r="F573" s="318"/>
      <c r="G573" s="407"/>
      <c r="H573" s="75"/>
      <c r="I573" s="412"/>
      <c r="J573" s="420"/>
      <c r="K573" s="75"/>
      <c r="L573" s="75"/>
      <c r="M573" s="75"/>
      <c r="N573" s="75"/>
      <c r="O573" s="102"/>
      <c r="P573" s="79"/>
      <c r="Q573" s="79"/>
      <c r="R573" s="79">
        <v>31</v>
      </c>
      <c r="S573" s="80" t="s">
        <v>1168</v>
      </c>
      <c r="T573" s="104" t="s">
        <v>113</v>
      </c>
      <c r="U573" s="79" t="s">
        <v>1179</v>
      </c>
      <c r="V573" s="79" t="s">
        <v>731</v>
      </c>
      <c r="W573" s="87" t="s">
        <v>106</v>
      </c>
      <c r="X573" s="87" t="s">
        <v>104</v>
      </c>
    </row>
    <row r="574" spans="1:24" hidden="1">
      <c r="A574" s="91" t="s">
        <v>1177</v>
      </c>
      <c r="B574" s="75"/>
      <c r="C574" s="75"/>
      <c r="D574" s="75"/>
      <c r="E574" s="75"/>
      <c r="F574" s="318"/>
      <c r="G574" s="407"/>
      <c r="H574" s="75"/>
      <c r="I574" s="412"/>
      <c r="J574" s="420"/>
      <c r="K574" s="75"/>
      <c r="L574" s="75"/>
      <c r="M574" s="75"/>
      <c r="N574" s="75"/>
      <c r="O574" s="102"/>
      <c r="P574" s="79"/>
      <c r="Q574" s="79"/>
      <c r="R574" s="79">
        <v>32</v>
      </c>
      <c r="S574" s="80" t="s">
        <v>1168</v>
      </c>
      <c r="T574" s="104" t="s">
        <v>113</v>
      </c>
      <c r="U574" s="79" t="s">
        <v>1180</v>
      </c>
      <c r="V574" s="79" t="s">
        <v>731</v>
      </c>
      <c r="W574" s="87" t="s">
        <v>106</v>
      </c>
      <c r="X574" s="87" t="s">
        <v>104</v>
      </c>
    </row>
    <row r="575" spans="1:24" hidden="1">
      <c r="A575" s="91" t="s">
        <v>1177</v>
      </c>
      <c r="B575" s="75"/>
      <c r="C575" s="75"/>
      <c r="D575" s="75"/>
      <c r="E575" s="75"/>
      <c r="F575" s="318"/>
      <c r="G575" s="407"/>
      <c r="H575" s="75"/>
      <c r="I575" s="412"/>
      <c r="J575" s="420"/>
      <c r="K575" s="75"/>
      <c r="L575" s="75"/>
      <c r="M575" s="75"/>
      <c r="N575" s="75"/>
      <c r="O575" s="102"/>
      <c r="P575" s="79"/>
      <c r="Q575" s="79"/>
      <c r="R575" s="79">
        <v>47</v>
      </c>
      <c r="S575" s="80" t="s">
        <v>1168</v>
      </c>
      <c r="T575" s="104" t="s">
        <v>113</v>
      </c>
      <c r="U575" s="79" t="s">
        <v>1181</v>
      </c>
      <c r="V575" s="79" t="s">
        <v>731</v>
      </c>
      <c r="W575" s="87" t="s">
        <v>106</v>
      </c>
      <c r="X575" s="87" t="s">
        <v>104</v>
      </c>
    </row>
    <row r="576" spans="1:24" ht="12.75" hidden="1" customHeight="1">
      <c r="A576" s="91" t="s">
        <v>1182</v>
      </c>
      <c r="B576" s="75"/>
      <c r="C576" s="75"/>
      <c r="D576" s="75"/>
      <c r="E576" s="75"/>
      <c r="F576" s="318"/>
      <c r="G576" s="407"/>
      <c r="H576" s="75"/>
      <c r="I576" s="412"/>
      <c r="J576" s="420"/>
      <c r="K576" s="75"/>
      <c r="L576" s="75"/>
      <c r="M576" s="75"/>
      <c r="N576" s="75"/>
      <c r="O576" s="102"/>
      <c r="P576" s="79"/>
      <c r="Q576" s="79"/>
      <c r="R576" s="79">
        <v>35</v>
      </c>
      <c r="S576" s="80" t="s">
        <v>1168</v>
      </c>
      <c r="T576" s="104" t="s">
        <v>113</v>
      </c>
      <c r="U576" s="79" t="s">
        <v>1183</v>
      </c>
      <c r="V576" s="79" t="s">
        <v>731</v>
      </c>
      <c r="W576" s="87" t="s">
        <v>106</v>
      </c>
      <c r="X576" s="87" t="s">
        <v>104</v>
      </c>
    </row>
    <row r="577" spans="1:24" ht="12.75" hidden="1" customHeight="1">
      <c r="A577" s="91" t="s">
        <v>1182</v>
      </c>
      <c r="B577" s="75"/>
      <c r="C577" s="75"/>
      <c r="D577" s="75"/>
      <c r="E577" s="75"/>
      <c r="F577" s="318"/>
      <c r="G577" s="407"/>
      <c r="H577" s="75"/>
      <c r="I577" s="412"/>
      <c r="J577" s="420"/>
      <c r="K577" s="75"/>
      <c r="L577" s="75"/>
      <c r="M577" s="75"/>
      <c r="N577" s="75"/>
      <c r="O577" s="102"/>
      <c r="P577" s="79"/>
      <c r="Q577" s="79"/>
      <c r="R577" s="79">
        <v>43</v>
      </c>
      <c r="S577" s="80" t="s">
        <v>1168</v>
      </c>
      <c r="T577" s="104" t="s">
        <v>113</v>
      </c>
      <c r="U577" s="79" t="s">
        <v>1184</v>
      </c>
      <c r="V577" s="79" t="s">
        <v>731</v>
      </c>
      <c r="W577" s="87" t="s">
        <v>106</v>
      </c>
      <c r="X577" s="87" t="s">
        <v>104</v>
      </c>
    </row>
    <row r="578" spans="1:24" ht="12.75" hidden="1" customHeight="1">
      <c r="A578" s="91" t="s">
        <v>1182</v>
      </c>
      <c r="B578" s="75"/>
      <c r="C578" s="75"/>
      <c r="D578" s="75"/>
      <c r="E578" s="75"/>
      <c r="F578" s="318"/>
      <c r="G578" s="407"/>
      <c r="H578" s="75"/>
      <c r="I578" s="412"/>
      <c r="J578" s="420"/>
      <c r="K578" s="75"/>
      <c r="L578" s="75"/>
      <c r="M578" s="75"/>
      <c r="N578" s="75"/>
      <c r="O578" s="102"/>
      <c r="P578" s="79"/>
      <c r="Q578" s="79"/>
      <c r="R578" s="79">
        <v>34</v>
      </c>
      <c r="S578" s="80" t="s">
        <v>1168</v>
      </c>
      <c r="T578" s="104" t="s">
        <v>113</v>
      </c>
      <c r="U578" s="79" t="s">
        <v>1185</v>
      </c>
      <c r="V578" s="79" t="s">
        <v>731</v>
      </c>
      <c r="W578" s="87" t="s">
        <v>106</v>
      </c>
      <c r="X578" s="87" t="s">
        <v>104</v>
      </c>
    </row>
    <row r="579" spans="1:24" ht="12.75" hidden="1" customHeight="1">
      <c r="A579" s="91" t="s">
        <v>1182</v>
      </c>
      <c r="B579" s="75"/>
      <c r="C579" s="75"/>
      <c r="D579" s="75"/>
      <c r="E579" s="75"/>
      <c r="F579" s="318"/>
      <c r="G579" s="407"/>
      <c r="H579" s="75"/>
      <c r="I579" s="412"/>
      <c r="J579" s="420"/>
      <c r="K579" s="75"/>
      <c r="L579" s="75"/>
      <c r="M579" s="75"/>
      <c r="N579" s="75"/>
      <c r="O579" s="102"/>
      <c r="P579" s="79"/>
      <c r="Q579" s="79"/>
      <c r="R579" s="79">
        <v>45</v>
      </c>
      <c r="S579" s="80" t="s">
        <v>1168</v>
      </c>
      <c r="T579" s="104" t="s">
        <v>113</v>
      </c>
      <c r="U579" s="79" t="s">
        <v>1186</v>
      </c>
      <c r="V579" s="79" t="s">
        <v>731</v>
      </c>
      <c r="W579" s="87" t="s">
        <v>106</v>
      </c>
      <c r="X579" s="87" t="s">
        <v>104</v>
      </c>
    </row>
    <row r="580" spans="1:24" ht="25.5" hidden="1">
      <c r="A580" s="91" t="s">
        <v>1187</v>
      </c>
      <c r="B580" s="75"/>
      <c r="C580" s="75"/>
      <c r="D580" s="75"/>
      <c r="E580" s="75"/>
      <c r="F580" s="318"/>
      <c r="G580" s="407"/>
      <c r="H580" s="75"/>
      <c r="I580" s="412"/>
      <c r="J580" s="420"/>
      <c r="K580" s="75"/>
      <c r="L580" s="75"/>
      <c r="M580" s="75"/>
      <c r="N580" s="75"/>
      <c r="O580" s="102"/>
      <c r="P580" s="79"/>
      <c r="Q580" s="79"/>
      <c r="R580" s="79">
        <v>35</v>
      </c>
      <c r="S580" s="80" t="s">
        <v>1168</v>
      </c>
      <c r="T580" s="104" t="s">
        <v>113</v>
      </c>
      <c r="U580" s="79" t="s">
        <v>1188</v>
      </c>
      <c r="V580" s="79" t="s">
        <v>731</v>
      </c>
      <c r="W580" s="87" t="s">
        <v>106</v>
      </c>
      <c r="X580" s="87" t="s">
        <v>104</v>
      </c>
    </row>
    <row r="581" spans="1:24" ht="12.75" hidden="1" customHeight="1">
      <c r="A581" s="91" t="s">
        <v>1189</v>
      </c>
      <c r="B581" s="75"/>
      <c r="C581" s="75"/>
      <c r="D581" s="75"/>
      <c r="E581" s="75"/>
      <c r="F581" s="318"/>
      <c r="G581" s="407"/>
      <c r="H581" s="75"/>
      <c r="I581" s="412"/>
      <c r="J581" s="420"/>
      <c r="K581" s="75"/>
      <c r="L581" s="75"/>
      <c r="M581" s="75"/>
      <c r="N581" s="75"/>
      <c r="O581" s="102"/>
      <c r="P581" s="79"/>
      <c r="Q581" s="79"/>
      <c r="R581" s="79">
        <v>48</v>
      </c>
      <c r="S581" s="80" t="s">
        <v>1168</v>
      </c>
      <c r="T581" s="104" t="s">
        <v>113</v>
      </c>
      <c r="U581" s="79" t="s">
        <v>1190</v>
      </c>
      <c r="V581" s="79" t="s">
        <v>731</v>
      </c>
      <c r="W581" s="87" t="s">
        <v>106</v>
      </c>
      <c r="X581" s="87" t="s">
        <v>104</v>
      </c>
    </row>
    <row r="582" spans="1:24" ht="12.75" hidden="1" customHeight="1">
      <c r="A582" s="91" t="s">
        <v>1189</v>
      </c>
      <c r="B582" s="75"/>
      <c r="C582" s="75"/>
      <c r="D582" s="75"/>
      <c r="E582" s="75"/>
      <c r="F582" s="318"/>
      <c r="G582" s="407"/>
      <c r="H582" s="75"/>
      <c r="I582" s="412"/>
      <c r="J582" s="420"/>
      <c r="K582" s="75"/>
      <c r="L582" s="75"/>
      <c r="M582" s="75"/>
      <c r="N582" s="75"/>
      <c r="O582" s="102"/>
      <c r="P582" s="79"/>
      <c r="Q582" s="79"/>
      <c r="R582" s="79">
        <v>42</v>
      </c>
      <c r="S582" s="80" t="s">
        <v>1168</v>
      </c>
      <c r="T582" s="104" t="s">
        <v>113</v>
      </c>
      <c r="U582" s="79" t="s">
        <v>1191</v>
      </c>
      <c r="V582" s="79" t="s">
        <v>731</v>
      </c>
      <c r="W582" s="87" t="s">
        <v>106</v>
      </c>
      <c r="X582" s="87" t="s">
        <v>104</v>
      </c>
    </row>
    <row r="583" spans="1:24" ht="12.75" hidden="1" customHeight="1">
      <c r="A583" s="91" t="s">
        <v>1189</v>
      </c>
      <c r="B583" s="75"/>
      <c r="C583" s="75"/>
      <c r="D583" s="75"/>
      <c r="E583" s="75"/>
      <c r="F583" s="318"/>
      <c r="G583" s="407"/>
      <c r="H583" s="75"/>
      <c r="I583" s="412"/>
      <c r="J583" s="420"/>
      <c r="K583" s="75"/>
      <c r="L583" s="75"/>
      <c r="M583" s="75"/>
      <c r="N583" s="75"/>
      <c r="O583" s="102"/>
      <c r="P583" s="79"/>
      <c r="Q583" s="79"/>
      <c r="R583" s="79">
        <v>37</v>
      </c>
      <c r="S583" s="80" t="s">
        <v>1168</v>
      </c>
      <c r="T583" s="104" t="s">
        <v>113</v>
      </c>
      <c r="U583" s="79" t="s">
        <v>1192</v>
      </c>
      <c r="V583" s="79" t="s">
        <v>731</v>
      </c>
      <c r="W583" s="87" t="s">
        <v>106</v>
      </c>
      <c r="X583" s="87" t="s">
        <v>104</v>
      </c>
    </row>
    <row r="584" spans="1:24" ht="25.5" hidden="1">
      <c r="A584" s="91" t="s">
        <v>1193</v>
      </c>
      <c r="B584" s="75"/>
      <c r="C584" s="75"/>
      <c r="D584" s="75"/>
      <c r="E584" s="75"/>
      <c r="F584" s="318"/>
      <c r="G584" s="407"/>
      <c r="H584" s="75"/>
      <c r="I584" s="412"/>
      <c r="J584" s="420"/>
      <c r="K584" s="75"/>
      <c r="L584" s="75"/>
      <c r="M584" s="75"/>
      <c r="N584" s="75"/>
      <c r="O584" s="102"/>
      <c r="P584" s="79"/>
      <c r="Q584" s="79"/>
      <c r="R584" s="79">
        <v>34</v>
      </c>
      <c r="S584" s="80" t="s">
        <v>1168</v>
      </c>
      <c r="T584" s="104" t="s">
        <v>113</v>
      </c>
      <c r="U584" s="79" t="s">
        <v>1194</v>
      </c>
      <c r="V584" s="79" t="s">
        <v>731</v>
      </c>
      <c r="W584" s="87" t="s">
        <v>106</v>
      </c>
      <c r="X584" s="87" t="s">
        <v>104</v>
      </c>
    </row>
    <row r="585" spans="1:24" ht="12.75" hidden="1" customHeight="1">
      <c r="A585" s="91" t="s">
        <v>1195</v>
      </c>
      <c r="B585" s="75"/>
      <c r="C585" s="75"/>
      <c r="D585" s="75"/>
      <c r="E585" s="75"/>
      <c r="F585" s="318"/>
      <c r="G585" s="407"/>
      <c r="H585" s="75"/>
      <c r="I585" s="412"/>
      <c r="J585" s="420"/>
      <c r="K585" s="75"/>
      <c r="L585" s="75"/>
      <c r="M585" s="75"/>
      <c r="N585" s="75"/>
      <c r="O585" s="102"/>
      <c r="P585" s="79"/>
      <c r="Q585" s="79"/>
      <c r="R585" s="79">
        <v>37</v>
      </c>
      <c r="S585" s="80" t="s">
        <v>1168</v>
      </c>
      <c r="T585" s="104" t="s">
        <v>113</v>
      </c>
      <c r="U585" s="79" t="s">
        <v>1196</v>
      </c>
      <c r="V585" s="79" t="s">
        <v>731</v>
      </c>
      <c r="W585" s="87" t="s">
        <v>106</v>
      </c>
      <c r="X585" s="87" t="s">
        <v>104</v>
      </c>
    </row>
    <row r="586" spans="1:24" ht="12.75" hidden="1" customHeight="1">
      <c r="A586" s="91" t="s">
        <v>1195</v>
      </c>
      <c r="B586" s="75"/>
      <c r="C586" s="75"/>
      <c r="D586" s="75"/>
      <c r="E586" s="75"/>
      <c r="F586" s="318"/>
      <c r="G586" s="407"/>
      <c r="H586" s="75"/>
      <c r="I586" s="412"/>
      <c r="J586" s="420"/>
      <c r="K586" s="75"/>
      <c r="L586" s="75"/>
      <c r="M586" s="75"/>
      <c r="N586" s="75"/>
      <c r="O586" s="102"/>
      <c r="P586" s="79"/>
      <c r="Q586" s="79"/>
      <c r="R586" s="79">
        <v>37</v>
      </c>
      <c r="S586" s="80" t="s">
        <v>1168</v>
      </c>
      <c r="T586" s="104" t="s">
        <v>113</v>
      </c>
      <c r="U586" s="79" t="s">
        <v>1197</v>
      </c>
      <c r="V586" s="79" t="s">
        <v>731</v>
      </c>
      <c r="W586" s="87" t="s">
        <v>106</v>
      </c>
      <c r="X586" s="87" t="s">
        <v>104</v>
      </c>
    </row>
    <row r="587" spans="1:24" ht="12.75" hidden="1" customHeight="1">
      <c r="A587" s="91" t="s">
        <v>1195</v>
      </c>
      <c r="B587" s="75"/>
      <c r="C587" s="75"/>
      <c r="D587" s="75"/>
      <c r="E587" s="75"/>
      <c r="F587" s="318"/>
      <c r="G587" s="407"/>
      <c r="H587" s="75"/>
      <c r="I587" s="412"/>
      <c r="J587" s="420"/>
      <c r="K587" s="75"/>
      <c r="L587" s="75"/>
      <c r="M587" s="75"/>
      <c r="N587" s="75"/>
      <c r="O587" s="102"/>
      <c r="P587" s="79"/>
      <c r="Q587" s="79"/>
      <c r="R587" s="79">
        <v>46</v>
      </c>
      <c r="S587" s="80" t="s">
        <v>1168</v>
      </c>
      <c r="T587" s="104" t="s">
        <v>113</v>
      </c>
      <c r="U587" s="79" t="s">
        <v>1198</v>
      </c>
      <c r="V587" s="79" t="s">
        <v>731</v>
      </c>
      <c r="W587" s="87" t="s">
        <v>106</v>
      </c>
      <c r="X587" s="87" t="s">
        <v>104</v>
      </c>
    </row>
    <row r="588" spans="1:24" hidden="1">
      <c r="A588" s="91" t="s">
        <v>1195</v>
      </c>
      <c r="B588" s="75"/>
      <c r="C588" s="75"/>
      <c r="D588" s="75"/>
      <c r="E588" s="75"/>
      <c r="F588" s="318"/>
      <c r="G588" s="407"/>
      <c r="H588" s="75"/>
      <c r="I588" s="412"/>
      <c r="J588" s="420"/>
      <c r="K588" s="75"/>
      <c r="L588" s="75"/>
      <c r="M588" s="75"/>
      <c r="N588" s="75"/>
      <c r="O588" s="102"/>
      <c r="P588" s="79"/>
      <c r="Q588" s="79"/>
      <c r="R588" s="79">
        <v>28</v>
      </c>
      <c r="S588" s="80" t="s">
        <v>1168</v>
      </c>
      <c r="T588" s="104" t="s">
        <v>113</v>
      </c>
      <c r="U588" s="79" t="s">
        <v>1199</v>
      </c>
      <c r="V588" s="79" t="s">
        <v>731</v>
      </c>
      <c r="W588" s="87" t="s">
        <v>106</v>
      </c>
      <c r="X588" s="87" t="s">
        <v>104</v>
      </c>
    </row>
    <row r="589" spans="1:24" ht="12.75" hidden="1" customHeight="1">
      <c r="A589" s="91" t="s">
        <v>1200</v>
      </c>
      <c r="B589" s="75"/>
      <c r="C589" s="75"/>
      <c r="D589" s="75"/>
      <c r="E589" s="75"/>
      <c r="F589" s="318"/>
      <c r="G589" s="407"/>
      <c r="H589" s="75"/>
      <c r="I589" s="412"/>
      <c r="J589" s="420"/>
      <c r="K589" s="75"/>
      <c r="L589" s="75"/>
      <c r="M589" s="75"/>
      <c r="N589" s="75"/>
      <c r="O589" s="102"/>
      <c r="P589" s="79"/>
      <c r="Q589" s="79"/>
      <c r="R589" s="79">
        <v>45</v>
      </c>
      <c r="S589" s="80" t="s">
        <v>1168</v>
      </c>
      <c r="T589" s="104" t="s">
        <v>113</v>
      </c>
      <c r="U589" s="79" t="s">
        <v>1201</v>
      </c>
      <c r="V589" s="79" t="s">
        <v>731</v>
      </c>
      <c r="W589" s="87" t="s">
        <v>106</v>
      </c>
      <c r="X589" s="87" t="s">
        <v>104</v>
      </c>
    </row>
    <row r="590" spans="1:24" ht="12.75" hidden="1" customHeight="1">
      <c r="A590" s="91" t="s">
        <v>1200</v>
      </c>
      <c r="B590" s="75"/>
      <c r="C590" s="75"/>
      <c r="D590" s="75"/>
      <c r="E590" s="75"/>
      <c r="F590" s="318"/>
      <c r="G590" s="407"/>
      <c r="H590" s="75"/>
      <c r="I590" s="412"/>
      <c r="J590" s="420"/>
      <c r="K590" s="75"/>
      <c r="L590" s="75"/>
      <c r="M590" s="75"/>
      <c r="N590" s="75"/>
      <c r="O590" s="102"/>
      <c r="P590" s="79"/>
      <c r="Q590" s="79"/>
      <c r="R590" s="79">
        <v>47</v>
      </c>
      <c r="S590" s="80" t="s">
        <v>1168</v>
      </c>
      <c r="T590" s="104" t="s">
        <v>113</v>
      </c>
      <c r="U590" s="79" t="s">
        <v>1202</v>
      </c>
      <c r="V590" s="79" t="s">
        <v>731</v>
      </c>
      <c r="W590" s="87" t="s">
        <v>106</v>
      </c>
      <c r="X590" s="87" t="s">
        <v>104</v>
      </c>
    </row>
    <row r="591" spans="1:24" ht="12.75" hidden="1" customHeight="1">
      <c r="A591" s="91" t="s">
        <v>1200</v>
      </c>
      <c r="B591" s="75"/>
      <c r="C591" s="75"/>
      <c r="D591" s="75"/>
      <c r="E591" s="75"/>
      <c r="F591" s="318"/>
      <c r="G591" s="407"/>
      <c r="H591" s="75"/>
      <c r="I591" s="412"/>
      <c r="J591" s="420"/>
      <c r="K591" s="75"/>
      <c r="L591" s="75"/>
      <c r="M591" s="75"/>
      <c r="N591" s="75"/>
      <c r="O591" s="102"/>
      <c r="P591" s="79"/>
      <c r="Q591" s="79"/>
      <c r="R591" s="79">
        <v>35</v>
      </c>
      <c r="S591" s="80" t="s">
        <v>1168</v>
      </c>
      <c r="T591" s="104" t="s">
        <v>113</v>
      </c>
      <c r="U591" s="79" t="s">
        <v>1203</v>
      </c>
      <c r="V591" s="79" t="s">
        <v>731</v>
      </c>
      <c r="W591" s="87" t="s">
        <v>106</v>
      </c>
      <c r="X591" s="87" t="s">
        <v>104</v>
      </c>
    </row>
    <row r="592" spans="1:24" hidden="1">
      <c r="A592" s="91" t="s">
        <v>1200</v>
      </c>
      <c r="B592" s="75"/>
      <c r="C592" s="75"/>
      <c r="D592" s="75"/>
      <c r="E592" s="75"/>
      <c r="F592" s="318"/>
      <c r="G592" s="407"/>
      <c r="H592" s="75"/>
      <c r="I592" s="412"/>
      <c r="J592" s="420"/>
      <c r="K592" s="75"/>
      <c r="L592" s="75"/>
      <c r="M592" s="75"/>
      <c r="N592" s="75"/>
      <c r="O592" s="102"/>
      <c r="P592" s="79"/>
      <c r="Q592" s="79"/>
      <c r="R592" s="79">
        <v>32</v>
      </c>
      <c r="S592" s="80" t="s">
        <v>1168</v>
      </c>
      <c r="T592" s="104" t="s">
        <v>113</v>
      </c>
      <c r="U592" s="79" t="s">
        <v>1204</v>
      </c>
      <c r="V592" s="79" t="s">
        <v>731</v>
      </c>
      <c r="W592" s="87" t="s">
        <v>106</v>
      </c>
      <c r="X592" s="87" t="s">
        <v>104</v>
      </c>
    </row>
    <row r="593" spans="1:24" hidden="1">
      <c r="A593" s="91" t="s">
        <v>1205</v>
      </c>
      <c r="B593" s="75"/>
      <c r="C593" s="75"/>
      <c r="D593" s="75"/>
      <c r="E593" s="75"/>
      <c r="F593" s="318"/>
      <c r="G593" s="407"/>
      <c r="H593" s="75"/>
      <c r="I593" s="412"/>
      <c r="J593" s="420"/>
      <c r="K593" s="75"/>
      <c r="L593" s="75"/>
      <c r="M593" s="75"/>
      <c r="N593" s="75"/>
      <c r="O593" s="102"/>
      <c r="P593" s="79"/>
      <c r="Q593" s="79"/>
      <c r="R593" s="79">
        <v>43</v>
      </c>
      <c r="S593" s="80" t="s">
        <v>1168</v>
      </c>
      <c r="T593" s="104" t="s">
        <v>113</v>
      </c>
      <c r="U593" s="79" t="s">
        <v>1206</v>
      </c>
      <c r="V593" s="79" t="s">
        <v>731</v>
      </c>
      <c r="W593" s="87" t="s">
        <v>106</v>
      </c>
      <c r="X593" s="87" t="s">
        <v>104</v>
      </c>
    </row>
    <row r="594" spans="1:24" ht="25.5" hidden="1">
      <c r="A594" s="91" t="s">
        <v>1205</v>
      </c>
      <c r="B594" s="75"/>
      <c r="C594" s="75"/>
      <c r="D594" s="75"/>
      <c r="E594" s="75"/>
      <c r="F594" s="318"/>
      <c r="G594" s="407"/>
      <c r="H594" s="75"/>
      <c r="I594" s="412"/>
      <c r="J594" s="420"/>
      <c r="K594" s="75"/>
      <c r="L594" s="75"/>
      <c r="M594" s="75"/>
      <c r="N594" s="75"/>
      <c r="O594" s="102"/>
      <c r="P594" s="79"/>
      <c r="Q594" s="79"/>
      <c r="R594" s="79">
        <v>35</v>
      </c>
      <c r="S594" s="80" t="s">
        <v>1207</v>
      </c>
      <c r="T594" s="104" t="s">
        <v>113</v>
      </c>
      <c r="U594" s="79" t="s">
        <v>1208</v>
      </c>
      <c r="V594" s="79" t="s">
        <v>731</v>
      </c>
      <c r="W594" s="87" t="s">
        <v>106</v>
      </c>
      <c r="X594" s="87" t="s">
        <v>104</v>
      </c>
    </row>
    <row r="595" spans="1:24" ht="25.5" hidden="1">
      <c r="A595" s="91" t="s">
        <v>1209</v>
      </c>
      <c r="B595" s="75"/>
      <c r="C595" s="75"/>
      <c r="D595" s="75"/>
      <c r="E595" s="75"/>
      <c r="F595" s="318"/>
      <c r="G595" s="407"/>
      <c r="H595" s="75"/>
      <c r="I595" s="412"/>
      <c r="J595" s="420"/>
      <c r="K595" s="75"/>
      <c r="L595" s="75"/>
      <c r="M595" s="75"/>
      <c r="N595" s="75"/>
      <c r="O595" s="102"/>
      <c r="P595" s="79"/>
      <c r="Q595" s="79"/>
      <c r="R595" s="79">
        <v>46</v>
      </c>
      <c r="S595" s="80" t="s">
        <v>1210</v>
      </c>
      <c r="T595" s="104" t="s">
        <v>113</v>
      </c>
      <c r="U595" s="79" t="s">
        <v>1211</v>
      </c>
      <c r="V595" s="79" t="s">
        <v>731</v>
      </c>
      <c r="W595" s="87" t="s">
        <v>106</v>
      </c>
      <c r="X595" s="87" t="s">
        <v>104</v>
      </c>
    </row>
    <row r="596" spans="1:24" hidden="1">
      <c r="A596" s="91" t="s">
        <v>1209</v>
      </c>
      <c r="B596" s="75"/>
      <c r="C596" s="75"/>
      <c r="D596" s="75"/>
      <c r="E596" s="75"/>
      <c r="F596" s="318"/>
      <c r="G596" s="407"/>
      <c r="H596" s="75"/>
      <c r="I596" s="412"/>
      <c r="J596" s="420"/>
      <c r="K596" s="75"/>
      <c r="L596" s="75"/>
      <c r="M596" s="75"/>
      <c r="N596" s="75"/>
      <c r="O596" s="102"/>
      <c r="P596" s="79"/>
      <c r="Q596" s="79"/>
      <c r="R596" s="79">
        <v>38</v>
      </c>
      <c r="S596" s="80" t="s">
        <v>1210</v>
      </c>
      <c r="T596" s="104" t="s">
        <v>113</v>
      </c>
      <c r="U596" s="79" t="s">
        <v>1212</v>
      </c>
      <c r="V596" s="79" t="s">
        <v>731</v>
      </c>
      <c r="W596" s="87" t="s">
        <v>106</v>
      </c>
      <c r="X596" s="87" t="s">
        <v>104</v>
      </c>
    </row>
    <row r="597" spans="1:24" hidden="1">
      <c r="A597" s="91" t="s">
        <v>1213</v>
      </c>
      <c r="B597" s="75"/>
      <c r="C597" s="75"/>
      <c r="D597" s="75"/>
      <c r="E597" s="75"/>
      <c r="F597" s="318"/>
      <c r="G597" s="407"/>
      <c r="H597" s="75"/>
      <c r="I597" s="412"/>
      <c r="J597" s="420"/>
      <c r="K597" s="75"/>
      <c r="L597" s="75"/>
      <c r="M597" s="75"/>
      <c r="N597" s="75"/>
      <c r="O597" s="102"/>
      <c r="P597" s="79"/>
      <c r="Q597" s="79"/>
      <c r="R597" s="79">
        <v>36</v>
      </c>
      <c r="S597" s="80" t="s">
        <v>1210</v>
      </c>
      <c r="T597" s="104" t="s">
        <v>100</v>
      </c>
      <c r="U597" s="79" t="s">
        <v>1214</v>
      </c>
      <c r="V597" s="79" t="s">
        <v>731</v>
      </c>
      <c r="W597" s="87" t="s">
        <v>106</v>
      </c>
      <c r="X597" s="87" t="s">
        <v>104</v>
      </c>
    </row>
    <row r="598" spans="1:24" ht="25.5" hidden="1">
      <c r="A598" s="91" t="s">
        <v>1215</v>
      </c>
      <c r="B598" s="75"/>
      <c r="C598" s="75"/>
      <c r="D598" s="75"/>
      <c r="E598" s="75"/>
      <c r="F598" s="318"/>
      <c r="G598" s="407"/>
      <c r="H598" s="75"/>
      <c r="I598" s="412"/>
      <c r="J598" s="420"/>
      <c r="K598" s="75"/>
      <c r="L598" s="75"/>
      <c r="M598" s="75"/>
      <c r="N598" s="75"/>
      <c r="O598" s="102"/>
      <c r="P598" s="79"/>
      <c r="Q598" s="79"/>
      <c r="R598" s="79">
        <v>43</v>
      </c>
      <c r="S598" s="80" t="s">
        <v>1210</v>
      </c>
      <c r="T598" s="104" t="s">
        <v>100</v>
      </c>
      <c r="U598" s="79" t="s">
        <v>1216</v>
      </c>
      <c r="V598" s="79" t="s">
        <v>731</v>
      </c>
      <c r="W598" s="87" t="s">
        <v>106</v>
      </c>
      <c r="X598" s="87" t="s">
        <v>104</v>
      </c>
    </row>
    <row r="599" spans="1:24" hidden="1">
      <c r="A599" s="91" t="s">
        <v>1217</v>
      </c>
      <c r="B599" s="75"/>
      <c r="C599" s="75"/>
      <c r="D599" s="75"/>
      <c r="E599" s="75"/>
      <c r="F599" s="318"/>
      <c r="G599" s="407"/>
      <c r="H599" s="75"/>
      <c r="I599" s="412"/>
      <c r="J599" s="420"/>
      <c r="K599" s="75"/>
      <c r="L599" s="75"/>
      <c r="M599" s="75"/>
      <c r="N599" s="75"/>
      <c r="O599" s="102"/>
      <c r="P599" s="79"/>
      <c r="Q599" s="79"/>
      <c r="R599" s="79">
        <v>41</v>
      </c>
      <c r="S599" s="80" t="s">
        <v>1218</v>
      </c>
      <c r="T599" s="104" t="s">
        <v>100</v>
      </c>
      <c r="U599" s="79" t="s">
        <v>1219</v>
      </c>
      <c r="V599" s="79" t="s">
        <v>731</v>
      </c>
      <c r="W599" s="87" t="s">
        <v>106</v>
      </c>
      <c r="X599" s="87" t="s">
        <v>104</v>
      </c>
    </row>
    <row r="600" spans="1:24" hidden="1">
      <c r="A600" s="91" t="s">
        <v>1220</v>
      </c>
      <c r="B600" s="75"/>
      <c r="C600" s="75"/>
      <c r="D600" s="75"/>
      <c r="E600" s="75"/>
      <c r="F600" s="318"/>
      <c r="G600" s="407"/>
      <c r="H600" s="75"/>
      <c r="I600" s="412"/>
      <c r="J600" s="420"/>
      <c r="K600" s="75"/>
      <c r="L600" s="75"/>
      <c r="M600" s="75"/>
      <c r="N600" s="75"/>
      <c r="O600" s="102"/>
      <c r="P600" s="79"/>
      <c r="Q600" s="79"/>
      <c r="R600" s="79">
        <v>42</v>
      </c>
      <c r="S600" s="80" t="s">
        <v>1218</v>
      </c>
      <c r="T600" s="104" t="s">
        <v>100</v>
      </c>
      <c r="U600" s="79" t="s">
        <v>1221</v>
      </c>
      <c r="V600" s="79" t="s">
        <v>731</v>
      </c>
      <c r="W600" s="87" t="s">
        <v>106</v>
      </c>
      <c r="X600" s="87" t="s">
        <v>104</v>
      </c>
    </row>
    <row r="601" spans="1:24" hidden="1">
      <c r="A601" s="91" t="s">
        <v>1220</v>
      </c>
      <c r="B601" s="75"/>
      <c r="C601" s="75"/>
      <c r="D601" s="75"/>
      <c r="E601" s="75"/>
      <c r="F601" s="318"/>
      <c r="G601" s="407"/>
      <c r="H601" s="75"/>
      <c r="I601" s="412"/>
      <c r="J601" s="420"/>
      <c r="K601" s="75"/>
      <c r="L601" s="75"/>
      <c r="M601" s="75"/>
      <c r="N601" s="75"/>
      <c r="O601" s="102"/>
      <c r="P601" s="79"/>
      <c r="Q601" s="79"/>
      <c r="R601" s="79">
        <v>37</v>
      </c>
      <c r="S601" s="80" t="s">
        <v>1218</v>
      </c>
      <c r="T601" s="104" t="s">
        <v>100</v>
      </c>
      <c r="U601" s="79" t="s">
        <v>1222</v>
      </c>
      <c r="V601" s="79" t="s">
        <v>731</v>
      </c>
      <c r="W601" s="87" t="s">
        <v>106</v>
      </c>
      <c r="X601" s="87" t="s">
        <v>104</v>
      </c>
    </row>
    <row r="602" spans="1:24" hidden="1">
      <c r="A602" s="91" t="s">
        <v>1223</v>
      </c>
      <c r="B602" s="75"/>
      <c r="C602" s="75"/>
      <c r="D602" s="75"/>
      <c r="E602" s="75"/>
      <c r="F602" s="318"/>
      <c r="G602" s="407"/>
      <c r="H602" s="75"/>
      <c r="I602" s="412"/>
      <c r="J602" s="420"/>
      <c r="K602" s="75"/>
      <c r="L602" s="75"/>
      <c r="M602" s="75"/>
      <c r="N602" s="75"/>
      <c r="O602" s="102"/>
      <c r="P602" s="79"/>
      <c r="Q602" s="79"/>
      <c r="R602" s="79">
        <v>40</v>
      </c>
      <c r="S602" s="80" t="s">
        <v>1218</v>
      </c>
      <c r="T602" s="104" t="s">
        <v>100</v>
      </c>
      <c r="U602" s="79" t="s">
        <v>1224</v>
      </c>
      <c r="V602" s="79" t="s">
        <v>731</v>
      </c>
      <c r="W602" s="87" t="s">
        <v>106</v>
      </c>
      <c r="X602" s="87" t="s">
        <v>104</v>
      </c>
    </row>
    <row r="603" spans="1:24" hidden="1">
      <c r="A603" s="91" t="s">
        <v>1223</v>
      </c>
      <c r="B603" s="75"/>
      <c r="C603" s="75"/>
      <c r="D603" s="75"/>
      <c r="E603" s="75"/>
      <c r="F603" s="318"/>
      <c r="G603" s="407"/>
      <c r="H603" s="75"/>
      <c r="I603" s="412"/>
      <c r="J603" s="420"/>
      <c r="K603" s="75"/>
      <c r="L603" s="75"/>
      <c r="M603" s="75"/>
      <c r="N603" s="75"/>
      <c r="O603" s="102"/>
      <c r="P603" s="79"/>
      <c r="Q603" s="79"/>
      <c r="R603" s="79">
        <v>40</v>
      </c>
      <c r="S603" s="80" t="s">
        <v>1218</v>
      </c>
      <c r="T603" s="104" t="s">
        <v>100</v>
      </c>
      <c r="U603" s="79" t="s">
        <v>1225</v>
      </c>
      <c r="V603" s="79" t="s">
        <v>731</v>
      </c>
      <c r="W603" s="87" t="s">
        <v>106</v>
      </c>
      <c r="X603" s="87" t="s">
        <v>104</v>
      </c>
    </row>
    <row r="604" spans="1:24" hidden="1">
      <c r="A604" s="91" t="s">
        <v>1226</v>
      </c>
      <c r="B604" s="75"/>
      <c r="C604" s="75"/>
      <c r="D604" s="75"/>
      <c r="E604" s="75"/>
      <c r="F604" s="318"/>
      <c r="G604" s="407"/>
      <c r="H604" s="75"/>
      <c r="I604" s="412"/>
      <c r="J604" s="420"/>
      <c r="K604" s="75"/>
      <c r="L604" s="75"/>
      <c r="M604" s="75"/>
      <c r="N604" s="75"/>
      <c r="O604" s="102"/>
      <c r="P604" s="79"/>
      <c r="Q604" s="79"/>
      <c r="R604" s="79">
        <v>44</v>
      </c>
      <c r="S604" s="80" t="s">
        <v>1218</v>
      </c>
      <c r="T604" s="104" t="s">
        <v>100</v>
      </c>
      <c r="U604" s="79" t="s">
        <v>1227</v>
      </c>
      <c r="V604" s="79" t="s">
        <v>731</v>
      </c>
      <c r="W604" s="87" t="s">
        <v>106</v>
      </c>
      <c r="X604" s="87" t="s">
        <v>104</v>
      </c>
    </row>
    <row r="605" spans="1:24" hidden="1">
      <c r="A605" s="91" t="s">
        <v>1226</v>
      </c>
      <c r="B605" s="75"/>
      <c r="C605" s="75"/>
      <c r="D605" s="75"/>
      <c r="E605" s="75"/>
      <c r="F605" s="318"/>
      <c r="G605" s="407"/>
      <c r="H605" s="75"/>
      <c r="I605" s="412"/>
      <c r="J605" s="420"/>
      <c r="K605" s="75"/>
      <c r="L605" s="75"/>
      <c r="M605" s="75"/>
      <c r="N605" s="75"/>
      <c r="O605" s="102"/>
      <c r="P605" s="79"/>
      <c r="Q605" s="79"/>
      <c r="R605" s="79">
        <v>40</v>
      </c>
      <c r="S605" s="80" t="s">
        <v>1218</v>
      </c>
      <c r="T605" s="104" t="s">
        <v>100</v>
      </c>
      <c r="U605" s="79" t="s">
        <v>1228</v>
      </c>
      <c r="V605" s="79" t="s">
        <v>731</v>
      </c>
      <c r="W605" s="87" t="s">
        <v>106</v>
      </c>
      <c r="X605" s="87" t="s">
        <v>104</v>
      </c>
    </row>
    <row r="606" spans="1:24" hidden="1">
      <c r="A606" s="91" t="s">
        <v>1229</v>
      </c>
      <c r="B606" s="75"/>
      <c r="C606" s="75"/>
      <c r="D606" s="75"/>
      <c r="E606" s="75"/>
      <c r="F606" s="318"/>
      <c r="G606" s="407"/>
      <c r="H606" s="75"/>
      <c r="I606" s="412"/>
      <c r="J606" s="420"/>
      <c r="K606" s="75"/>
      <c r="L606" s="75"/>
      <c r="M606" s="75"/>
      <c r="N606" s="75"/>
      <c r="O606" s="102"/>
      <c r="P606" s="79"/>
      <c r="Q606" s="79"/>
      <c r="R606" s="79">
        <v>36</v>
      </c>
      <c r="S606" s="80" t="s">
        <v>1218</v>
      </c>
      <c r="T606" s="104" t="s">
        <v>100</v>
      </c>
      <c r="U606" s="79" t="s">
        <v>1230</v>
      </c>
      <c r="V606" s="79" t="s">
        <v>731</v>
      </c>
      <c r="W606" s="87" t="s">
        <v>106</v>
      </c>
      <c r="X606" s="87" t="s">
        <v>104</v>
      </c>
    </row>
    <row r="607" spans="1:24" hidden="1">
      <c r="A607" s="91" t="s">
        <v>1229</v>
      </c>
      <c r="B607" s="75"/>
      <c r="C607" s="75"/>
      <c r="D607" s="75"/>
      <c r="E607" s="75"/>
      <c r="F607" s="318"/>
      <c r="G607" s="407"/>
      <c r="H607" s="75"/>
      <c r="I607" s="412"/>
      <c r="J607" s="420"/>
      <c r="K607" s="75"/>
      <c r="L607" s="75"/>
      <c r="M607" s="75"/>
      <c r="N607" s="75"/>
      <c r="O607" s="102"/>
      <c r="P607" s="79"/>
      <c r="Q607" s="79"/>
      <c r="R607" s="79">
        <v>42</v>
      </c>
      <c r="S607" s="80" t="s">
        <v>1218</v>
      </c>
      <c r="T607" s="104" t="s">
        <v>100</v>
      </c>
      <c r="U607" s="79" t="s">
        <v>1231</v>
      </c>
      <c r="V607" s="79" t="s">
        <v>731</v>
      </c>
      <c r="W607" s="87" t="s">
        <v>106</v>
      </c>
      <c r="X607" s="87" t="s">
        <v>104</v>
      </c>
    </row>
    <row r="608" spans="1:24" hidden="1">
      <c r="A608" s="91" t="s">
        <v>1232</v>
      </c>
      <c r="B608" s="75"/>
      <c r="C608" s="75"/>
      <c r="D608" s="75"/>
      <c r="E608" s="75"/>
      <c r="F608" s="318"/>
      <c r="G608" s="407"/>
      <c r="H608" s="75"/>
      <c r="I608" s="412"/>
      <c r="J608" s="420"/>
      <c r="K608" s="75"/>
      <c r="L608" s="75"/>
      <c r="M608" s="75"/>
      <c r="N608" s="75"/>
      <c r="O608" s="102"/>
      <c r="P608" s="79"/>
      <c r="Q608" s="79"/>
      <c r="R608" s="79">
        <v>42</v>
      </c>
      <c r="S608" s="80" t="s">
        <v>1218</v>
      </c>
      <c r="T608" s="104" t="s">
        <v>100</v>
      </c>
      <c r="U608" s="79" t="s">
        <v>1233</v>
      </c>
      <c r="V608" s="79" t="s">
        <v>731</v>
      </c>
      <c r="W608" s="87" t="s">
        <v>106</v>
      </c>
      <c r="X608" s="87" t="s">
        <v>104</v>
      </c>
    </row>
    <row r="609" spans="1:24" hidden="1">
      <c r="A609" s="91" t="s">
        <v>1232</v>
      </c>
      <c r="B609" s="75"/>
      <c r="C609" s="75"/>
      <c r="D609" s="75"/>
      <c r="E609" s="75"/>
      <c r="F609" s="318"/>
      <c r="G609" s="407"/>
      <c r="H609" s="75"/>
      <c r="I609" s="412"/>
      <c r="J609" s="420"/>
      <c r="K609" s="75"/>
      <c r="L609" s="75"/>
      <c r="M609" s="75"/>
      <c r="N609" s="75"/>
      <c r="O609" s="102"/>
      <c r="P609" s="79"/>
      <c r="Q609" s="79"/>
      <c r="R609" s="79">
        <v>42</v>
      </c>
      <c r="S609" s="80" t="s">
        <v>1218</v>
      </c>
      <c r="T609" s="104" t="s">
        <v>100</v>
      </c>
      <c r="U609" s="79" t="s">
        <v>1234</v>
      </c>
      <c r="V609" s="79" t="s">
        <v>731</v>
      </c>
      <c r="W609" s="87" t="s">
        <v>106</v>
      </c>
      <c r="X609" s="87" t="s">
        <v>104</v>
      </c>
    </row>
    <row r="610" spans="1:24" hidden="1">
      <c r="A610" s="91" t="s">
        <v>1235</v>
      </c>
      <c r="B610" s="75"/>
      <c r="C610" s="75"/>
      <c r="D610" s="75"/>
      <c r="E610" s="75"/>
      <c r="F610" s="318"/>
      <c r="G610" s="407"/>
      <c r="H610" s="75"/>
      <c r="I610" s="412"/>
      <c r="J610" s="420"/>
      <c r="K610" s="75"/>
      <c r="L610" s="75"/>
      <c r="M610" s="75"/>
      <c r="N610" s="75"/>
      <c r="O610" s="102"/>
      <c r="P610" s="79"/>
      <c r="Q610" s="79"/>
      <c r="R610" s="79">
        <v>37</v>
      </c>
      <c r="S610" s="80" t="s">
        <v>1218</v>
      </c>
      <c r="T610" s="104" t="s">
        <v>100</v>
      </c>
      <c r="U610" s="79" t="s">
        <v>1236</v>
      </c>
      <c r="V610" s="79" t="s">
        <v>731</v>
      </c>
      <c r="W610" s="87" t="s">
        <v>106</v>
      </c>
      <c r="X610" s="87" t="s">
        <v>104</v>
      </c>
    </row>
    <row r="611" spans="1:24" hidden="1">
      <c r="A611" s="91" t="s">
        <v>1235</v>
      </c>
      <c r="B611" s="75"/>
      <c r="C611" s="75"/>
      <c r="D611" s="75"/>
      <c r="E611" s="75"/>
      <c r="F611" s="318"/>
      <c r="G611" s="407"/>
      <c r="H611" s="75"/>
      <c r="I611" s="412"/>
      <c r="J611" s="420"/>
      <c r="K611" s="75"/>
      <c r="L611" s="75"/>
      <c r="M611" s="75"/>
      <c r="N611" s="75"/>
      <c r="O611" s="102"/>
      <c r="P611" s="79"/>
      <c r="Q611" s="79"/>
      <c r="R611" s="79">
        <v>36</v>
      </c>
      <c r="S611" s="80" t="s">
        <v>1218</v>
      </c>
      <c r="T611" s="104" t="s">
        <v>100</v>
      </c>
      <c r="U611" s="79" t="s">
        <v>1237</v>
      </c>
      <c r="V611" s="79" t="s">
        <v>731</v>
      </c>
      <c r="W611" s="87" t="s">
        <v>106</v>
      </c>
      <c r="X611" s="87" t="s">
        <v>104</v>
      </c>
    </row>
    <row r="612" spans="1:24" ht="25.5" hidden="1">
      <c r="A612" s="91" t="s">
        <v>1238</v>
      </c>
      <c r="B612" s="75"/>
      <c r="C612" s="75"/>
      <c r="D612" s="75"/>
      <c r="E612" s="75"/>
      <c r="F612" s="318"/>
      <c r="G612" s="407"/>
      <c r="H612" s="75"/>
      <c r="I612" s="412"/>
      <c r="J612" s="420"/>
      <c r="K612" s="75"/>
      <c r="L612" s="75"/>
      <c r="M612" s="75"/>
      <c r="N612" s="75"/>
      <c r="O612" s="102"/>
      <c r="P612" s="79"/>
      <c r="Q612" s="79"/>
      <c r="R612" s="79">
        <v>43</v>
      </c>
      <c r="S612" s="80" t="s">
        <v>1218</v>
      </c>
      <c r="T612" s="104" t="s">
        <v>100</v>
      </c>
      <c r="U612" s="79" t="s">
        <v>1239</v>
      </c>
      <c r="V612" s="79" t="s">
        <v>731</v>
      </c>
      <c r="W612" s="87" t="s">
        <v>106</v>
      </c>
      <c r="X612" s="87" t="s">
        <v>104</v>
      </c>
    </row>
    <row r="613" spans="1:24" hidden="1">
      <c r="A613" s="91" t="s">
        <v>1240</v>
      </c>
      <c r="B613" s="75"/>
      <c r="C613" s="75"/>
      <c r="D613" s="75"/>
      <c r="E613" s="75"/>
      <c r="F613" s="318"/>
      <c r="G613" s="407"/>
      <c r="H613" s="75"/>
      <c r="I613" s="412"/>
      <c r="J613" s="420"/>
      <c r="K613" s="75"/>
      <c r="L613" s="75"/>
      <c r="M613" s="75"/>
      <c r="N613" s="75"/>
      <c r="O613" s="102"/>
      <c r="P613" s="79"/>
      <c r="Q613" s="79"/>
      <c r="R613" s="79">
        <v>44</v>
      </c>
      <c r="S613" s="80" t="s">
        <v>1218</v>
      </c>
      <c r="T613" s="104" t="s">
        <v>100</v>
      </c>
      <c r="U613" s="79" t="s">
        <v>1241</v>
      </c>
      <c r="V613" s="79" t="s">
        <v>731</v>
      </c>
      <c r="W613" s="87" t="s">
        <v>106</v>
      </c>
      <c r="X613" s="87" t="s">
        <v>104</v>
      </c>
    </row>
    <row r="614" spans="1:24" ht="25.5" hidden="1">
      <c r="A614" s="91" t="s">
        <v>1242</v>
      </c>
      <c r="B614" s="75"/>
      <c r="C614" s="75"/>
      <c r="D614" s="75"/>
      <c r="E614" s="75"/>
      <c r="F614" s="318"/>
      <c r="G614" s="407"/>
      <c r="H614" s="75"/>
      <c r="I614" s="412"/>
      <c r="J614" s="420"/>
      <c r="K614" s="75"/>
      <c r="L614" s="75"/>
      <c r="M614" s="75"/>
      <c r="N614" s="75"/>
      <c r="O614" s="102"/>
      <c r="P614" s="79"/>
      <c r="Q614" s="79"/>
      <c r="R614" s="79">
        <v>42</v>
      </c>
      <c r="S614" s="80" t="s">
        <v>1243</v>
      </c>
      <c r="T614" s="104" t="s">
        <v>100</v>
      </c>
      <c r="U614" s="79" t="s">
        <v>1244</v>
      </c>
      <c r="V614" s="79" t="s">
        <v>731</v>
      </c>
      <c r="W614" s="87" t="s">
        <v>106</v>
      </c>
      <c r="X614" s="87" t="s">
        <v>104</v>
      </c>
    </row>
    <row r="615" spans="1:24" hidden="1">
      <c r="A615" s="91" t="s">
        <v>1245</v>
      </c>
      <c r="B615" s="75"/>
      <c r="C615" s="75"/>
      <c r="D615" s="75"/>
      <c r="E615" s="75"/>
      <c r="F615" s="318"/>
      <c r="G615" s="407"/>
      <c r="H615" s="75"/>
      <c r="I615" s="412"/>
      <c r="J615" s="420"/>
      <c r="K615" s="75"/>
      <c r="L615" s="75"/>
      <c r="M615" s="75"/>
      <c r="N615" s="75"/>
      <c r="O615" s="102"/>
      <c r="P615" s="79"/>
      <c r="Q615" s="79"/>
      <c r="R615" s="79">
        <v>40</v>
      </c>
      <c r="S615" s="80" t="s">
        <v>1160</v>
      </c>
      <c r="T615" s="104" t="s">
        <v>100</v>
      </c>
      <c r="U615" s="79" t="s">
        <v>1246</v>
      </c>
      <c r="V615" s="79" t="s">
        <v>731</v>
      </c>
      <c r="W615" s="87" t="s">
        <v>106</v>
      </c>
      <c r="X615" s="87" t="s">
        <v>104</v>
      </c>
    </row>
    <row r="616" spans="1:24" ht="25.5" hidden="1">
      <c r="A616" s="91" t="s">
        <v>1247</v>
      </c>
      <c r="B616" s="75"/>
      <c r="C616" s="75"/>
      <c r="D616" s="75"/>
      <c r="E616" s="75"/>
      <c r="F616" s="318"/>
      <c r="G616" s="407"/>
      <c r="H616" s="75"/>
      <c r="I616" s="412"/>
      <c r="J616" s="420"/>
      <c r="K616" s="75"/>
      <c r="L616" s="75"/>
      <c r="M616" s="75"/>
      <c r="N616" s="75"/>
      <c r="O616" s="102"/>
      <c r="P616" s="79"/>
      <c r="Q616" s="79"/>
      <c r="R616" s="79">
        <v>38</v>
      </c>
      <c r="S616" s="80" t="s">
        <v>1248</v>
      </c>
      <c r="T616" s="104" t="s">
        <v>100</v>
      </c>
      <c r="U616" s="79" t="s">
        <v>1249</v>
      </c>
      <c r="V616" s="79" t="s">
        <v>731</v>
      </c>
      <c r="W616" s="87" t="s">
        <v>106</v>
      </c>
      <c r="X616" s="87" t="s">
        <v>104</v>
      </c>
    </row>
    <row r="617" spans="1:24" ht="25.5" hidden="1">
      <c r="A617" s="91" t="s">
        <v>1250</v>
      </c>
      <c r="B617" s="75"/>
      <c r="C617" s="75"/>
      <c r="D617" s="75"/>
      <c r="E617" s="75"/>
      <c r="F617" s="318"/>
      <c r="G617" s="407"/>
      <c r="H617" s="75"/>
      <c r="I617" s="412"/>
      <c r="J617" s="420"/>
      <c r="K617" s="75"/>
      <c r="L617" s="75"/>
      <c r="M617" s="75"/>
      <c r="N617" s="75"/>
      <c r="O617" s="102"/>
      <c r="P617" s="79"/>
      <c r="Q617" s="79"/>
      <c r="R617" s="79">
        <v>40</v>
      </c>
      <c r="S617" s="80" t="s">
        <v>235</v>
      </c>
      <c r="T617" s="104" t="s">
        <v>100</v>
      </c>
      <c r="U617" s="79" t="s">
        <v>1251</v>
      </c>
      <c r="V617" s="79" t="s">
        <v>731</v>
      </c>
      <c r="W617" s="87" t="s">
        <v>106</v>
      </c>
      <c r="X617" s="87" t="s">
        <v>104</v>
      </c>
    </row>
    <row r="618" spans="1:24" hidden="1">
      <c r="A618" s="91" t="s">
        <v>1252</v>
      </c>
      <c r="B618" s="75"/>
      <c r="C618" s="75"/>
      <c r="D618" s="75"/>
      <c r="E618" s="75"/>
      <c r="F618" s="318"/>
      <c r="G618" s="407"/>
      <c r="H618" s="75"/>
      <c r="I618" s="412"/>
      <c r="J618" s="420"/>
      <c r="K618" s="75"/>
      <c r="L618" s="75"/>
      <c r="M618" s="75"/>
      <c r="N618" s="75"/>
      <c r="O618" s="102"/>
      <c r="P618" s="79"/>
      <c r="Q618" s="79"/>
      <c r="R618" s="79">
        <v>43</v>
      </c>
      <c r="S618" s="80" t="s">
        <v>235</v>
      </c>
      <c r="T618" s="104" t="s">
        <v>100</v>
      </c>
      <c r="U618" s="79" t="s">
        <v>1253</v>
      </c>
      <c r="V618" s="79" t="s">
        <v>731</v>
      </c>
      <c r="W618" s="87" t="s">
        <v>106</v>
      </c>
      <c r="X618" s="87" t="s">
        <v>104</v>
      </c>
    </row>
    <row r="619" spans="1:24" ht="25.5" hidden="1">
      <c r="A619" s="91" t="s">
        <v>1254</v>
      </c>
      <c r="B619" s="75"/>
      <c r="C619" s="75"/>
      <c r="D619" s="75"/>
      <c r="E619" s="75"/>
      <c r="F619" s="318"/>
      <c r="G619" s="407"/>
      <c r="H619" s="75"/>
      <c r="I619" s="412"/>
      <c r="J619" s="420"/>
      <c r="K619" s="75"/>
      <c r="L619" s="75"/>
      <c r="M619" s="75"/>
      <c r="N619" s="75"/>
      <c r="O619" s="102"/>
      <c r="P619" s="79"/>
      <c r="Q619" s="79"/>
      <c r="R619" s="79">
        <v>39</v>
      </c>
      <c r="S619" s="80" t="s">
        <v>235</v>
      </c>
      <c r="T619" s="104" t="s">
        <v>100</v>
      </c>
      <c r="U619" s="79" t="s">
        <v>1255</v>
      </c>
      <c r="V619" s="79" t="s">
        <v>731</v>
      </c>
      <c r="W619" s="87" t="s">
        <v>106</v>
      </c>
      <c r="X619" s="87" t="s">
        <v>104</v>
      </c>
    </row>
    <row r="620" spans="1:24" hidden="1">
      <c r="A620" s="91" t="s">
        <v>1256</v>
      </c>
      <c r="B620" s="75"/>
      <c r="C620" s="75"/>
      <c r="D620" s="75"/>
      <c r="E620" s="75"/>
      <c r="F620" s="318"/>
      <c r="G620" s="407"/>
      <c r="H620" s="75"/>
      <c r="I620" s="412"/>
      <c r="J620" s="420"/>
      <c r="K620" s="75"/>
      <c r="L620" s="75"/>
      <c r="M620" s="75"/>
      <c r="N620" s="75"/>
      <c r="O620" s="102"/>
      <c r="P620" s="79"/>
      <c r="Q620" s="79"/>
      <c r="R620" s="79">
        <v>42</v>
      </c>
      <c r="S620" s="80" t="s">
        <v>235</v>
      </c>
      <c r="T620" s="104" t="s">
        <v>100</v>
      </c>
      <c r="U620" s="79" t="s">
        <v>1257</v>
      </c>
      <c r="V620" s="79" t="s">
        <v>731</v>
      </c>
      <c r="W620" s="87" t="s">
        <v>106</v>
      </c>
      <c r="X620" s="87" t="s">
        <v>104</v>
      </c>
    </row>
    <row r="621" spans="1:24" hidden="1">
      <c r="A621" s="91" t="s">
        <v>1258</v>
      </c>
      <c r="B621" s="75"/>
      <c r="C621" s="75"/>
      <c r="D621" s="75"/>
      <c r="E621" s="75"/>
      <c r="F621" s="318"/>
      <c r="G621" s="407"/>
      <c r="H621" s="75"/>
      <c r="I621" s="412"/>
      <c r="J621" s="420"/>
      <c r="K621" s="75"/>
      <c r="L621" s="75"/>
      <c r="M621" s="75"/>
      <c r="N621" s="75"/>
      <c r="O621" s="102"/>
      <c r="P621" s="79"/>
      <c r="Q621" s="79"/>
      <c r="R621" s="79">
        <v>42</v>
      </c>
      <c r="S621" s="80" t="s">
        <v>235</v>
      </c>
      <c r="T621" s="104" t="s">
        <v>100</v>
      </c>
      <c r="U621" s="79" t="s">
        <v>1259</v>
      </c>
      <c r="V621" s="79" t="s">
        <v>731</v>
      </c>
      <c r="W621" s="87" t="s">
        <v>106</v>
      </c>
      <c r="X621" s="87" t="s">
        <v>104</v>
      </c>
    </row>
    <row r="622" spans="1:24" hidden="1">
      <c r="A622" s="91" t="s">
        <v>1258</v>
      </c>
      <c r="B622" s="75"/>
      <c r="C622" s="75"/>
      <c r="D622" s="75"/>
      <c r="E622" s="75"/>
      <c r="F622" s="318"/>
      <c r="G622" s="407"/>
      <c r="H622" s="75"/>
      <c r="I622" s="412"/>
      <c r="J622" s="420"/>
      <c r="K622" s="75"/>
      <c r="L622" s="75"/>
      <c r="M622" s="75"/>
      <c r="N622" s="75"/>
      <c r="O622" s="102"/>
      <c r="P622" s="79"/>
      <c r="Q622" s="79"/>
      <c r="R622" s="79">
        <v>38</v>
      </c>
      <c r="S622" s="80" t="s">
        <v>235</v>
      </c>
      <c r="T622" s="104" t="s">
        <v>100</v>
      </c>
      <c r="U622" s="79" t="s">
        <v>1260</v>
      </c>
      <c r="V622" s="79" t="s">
        <v>731</v>
      </c>
      <c r="W622" s="87" t="s">
        <v>106</v>
      </c>
      <c r="X622" s="87" t="s">
        <v>104</v>
      </c>
    </row>
    <row r="623" spans="1:24" hidden="1">
      <c r="A623" s="91" t="s">
        <v>1261</v>
      </c>
      <c r="B623" s="75"/>
      <c r="C623" s="75"/>
      <c r="D623" s="75"/>
      <c r="E623" s="75"/>
      <c r="F623" s="318"/>
      <c r="G623" s="407"/>
      <c r="H623" s="75"/>
      <c r="I623" s="412"/>
      <c r="J623" s="420"/>
      <c r="K623" s="75"/>
      <c r="L623" s="75"/>
      <c r="M623" s="75"/>
      <c r="N623" s="75"/>
      <c r="O623" s="102"/>
      <c r="P623" s="79"/>
      <c r="Q623" s="79"/>
      <c r="R623" s="79">
        <v>43</v>
      </c>
      <c r="S623" s="80" t="s">
        <v>235</v>
      </c>
      <c r="T623" s="104" t="s">
        <v>100</v>
      </c>
      <c r="U623" s="79" t="s">
        <v>1262</v>
      </c>
      <c r="V623" s="79" t="s">
        <v>731</v>
      </c>
      <c r="W623" s="87" t="s">
        <v>106</v>
      </c>
      <c r="X623" s="87" t="s">
        <v>104</v>
      </c>
    </row>
    <row r="624" spans="1:24" hidden="1">
      <c r="A624" s="91" t="s">
        <v>1261</v>
      </c>
      <c r="B624" s="75"/>
      <c r="C624" s="75"/>
      <c r="D624" s="75"/>
      <c r="E624" s="75"/>
      <c r="F624" s="318"/>
      <c r="G624" s="407"/>
      <c r="H624" s="75"/>
      <c r="I624" s="412"/>
      <c r="J624" s="420"/>
      <c r="K624" s="75"/>
      <c r="L624" s="75"/>
      <c r="M624" s="75"/>
      <c r="N624" s="75"/>
      <c r="O624" s="102"/>
      <c r="P624" s="79"/>
      <c r="Q624" s="79"/>
      <c r="R624" s="79">
        <v>38</v>
      </c>
      <c r="S624" s="80" t="s">
        <v>235</v>
      </c>
      <c r="T624" s="104" t="s">
        <v>100</v>
      </c>
      <c r="U624" s="79" t="s">
        <v>1263</v>
      </c>
      <c r="V624" s="79" t="s">
        <v>731</v>
      </c>
      <c r="W624" s="87" t="s">
        <v>106</v>
      </c>
      <c r="X624" s="87" t="s">
        <v>104</v>
      </c>
    </row>
    <row r="625" spans="1:24" hidden="1">
      <c r="A625" s="91" t="s">
        <v>1264</v>
      </c>
      <c r="B625" s="75"/>
      <c r="C625" s="75"/>
      <c r="D625" s="75"/>
      <c r="E625" s="75"/>
      <c r="F625" s="318"/>
      <c r="G625" s="407"/>
      <c r="H625" s="75"/>
      <c r="I625" s="412"/>
      <c r="J625" s="420"/>
      <c r="K625" s="75"/>
      <c r="L625" s="75"/>
      <c r="M625" s="75"/>
      <c r="N625" s="75"/>
      <c r="O625" s="102"/>
      <c r="P625" s="79"/>
      <c r="Q625" s="79"/>
      <c r="R625" s="79">
        <v>38</v>
      </c>
      <c r="S625" s="80" t="s">
        <v>235</v>
      </c>
      <c r="T625" s="104" t="s">
        <v>100</v>
      </c>
      <c r="U625" s="79" t="s">
        <v>1265</v>
      </c>
      <c r="V625" s="79" t="s">
        <v>731</v>
      </c>
      <c r="W625" s="87" t="s">
        <v>106</v>
      </c>
      <c r="X625" s="87" t="s">
        <v>104</v>
      </c>
    </row>
    <row r="626" spans="1:24" hidden="1">
      <c r="A626" s="91" t="s">
        <v>1264</v>
      </c>
      <c r="B626" s="75"/>
      <c r="C626" s="75"/>
      <c r="D626" s="75"/>
      <c r="E626" s="75"/>
      <c r="F626" s="318"/>
      <c r="G626" s="407"/>
      <c r="H626" s="75"/>
      <c r="I626" s="412"/>
      <c r="J626" s="420"/>
      <c r="K626" s="75"/>
      <c r="L626" s="75"/>
      <c r="M626" s="75"/>
      <c r="N626" s="75"/>
      <c r="O626" s="102"/>
      <c r="P626" s="79"/>
      <c r="Q626" s="79"/>
      <c r="R626" s="79">
        <v>37</v>
      </c>
      <c r="S626" s="80" t="s">
        <v>235</v>
      </c>
      <c r="T626" s="104" t="s">
        <v>100</v>
      </c>
      <c r="U626" s="79" t="s">
        <v>1266</v>
      </c>
      <c r="V626" s="79" t="s">
        <v>731</v>
      </c>
      <c r="W626" s="87" t="s">
        <v>106</v>
      </c>
      <c r="X626" s="87" t="s">
        <v>104</v>
      </c>
    </row>
    <row r="627" spans="1:24" hidden="1">
      <c r="A627" s="91" t="s">
        <v>1264</v>
      </c>
      <c r="B627" s="75"/>
      <c r="C627" s="75"/>
      <c r="D627" s="75"/>
      <c r="E627" s="75"/>
      <c r="F627" s="318"/>
      <c r="G627" s="407"/>
      <c r="H627" s="75"/>
      <c r="I627" s="412"/>
      <c r="J627" s="420"/>
      <c r="K627" s="75"/>
      <c r="L627" s="75"/>
      <c r="M627" s="75"/>
      <c r="N627" s="75"/>
      <c r="O627" s="102"/>
      <c r="P627" s="79"/>
      <c r="Q627" s="79"/>
      <c r="R627" s="79">
        <v>33</v>
      </c>
      <c r="S627" s="80" t="s">
        <v>235</v>
      </c>
      <c r="T627" s="104" t="s">
        <v>100</v>
      </c>
      <c r="U627" s="79" t="s">
        <v>1267</v>
      </c>
      <c r="V627" s="79" t="s">
        <v>731</v>
      </c>
      <c r="W627" s="87" t="s">
        <v>106</v>
      </c>
      <c r="X627" s="87" t="s">
        <v>104</v>
      </c>
    </row>
    <row r="628" spans="1:24" ht="25.5" hidden="1">
      <c r="A628" s="91" t="s">
        <v>1268</v>
      </c>
      <c r="B628" s="75"/>
      <c r="C628" s="75"/>
      <c r="D628" s="75"/>
      <c r="E628" s="75"/>
      <c r="F628" s="318"/>
      <c r="G628" s="407"/>
      <c r="H628" s="75"/>
      <c r="I628" s="412"/>
      <c r="J628" s="420"/>
      <c r="K628" s="75"/>
      <c r="L628" s="75"/>
      <c r="M628" s="75"/>
      <c r="N628" s="75"/>
      <c r="O628" s="102"/>
      <c r="P628" s="79"/>
      <c r="Q628" s="79"/>
      <c r="R628" s="79">
        <v>48</v>
      </c>
      <c r="S628" s="80" t="s">
        <v>235</v>
      </c>
      <c r="T628" s="104" t="s">
        <v>100</v>
      </c>
      <c r="U628" s="79" t="s">
        <v>1269</v>
      </c>
      <c r="V628" s="79" t="s">
        <v>731</v>
      </c>
      <c r="W628" s="87" t="s">
        <v>106</v>
      </c>
      <c r="X628" s="87" t="s">
        <v>104</v>
      </c>
    </row>
    <row r="629" spans="1:24" hidden="1">
      <c r="A629" s="91" t="s">
        <v>1270</v>
      </c>
      <c r="B629" s="75"/>
      <c r="C629" s="75"/>
      <c r="D629" s="75"/>
      <c r="E629" s="75"/>
      <c r="F629" s="318"/>
      <c r="G629" s="407"/>
      <c r="H629" s="75"/>
      <c r="I629" s="412"/>
      <c r="J629" s="420"/>
      <c r="K629" s="75"/>
      <c r="L629" s="75"/>
      <c r="M629" s="75"/>
      <c r="N629" s="75"/>
      <c r="O629" s="102"/>
      <c r="P629" s="79"/>
      <c r="Q629" s="79"/>
      <c r="R629" s="79">
        <v>42</v>
      </c>
      <c r="S629" s="80" t="s">
        <v>235</v>
      </c>
      <c r="T629" s="104" t="s">
        <v>100</v>
      </c>
      <c r="U629" s="79" t="s">
        <v>1271</v>
      </c>
      <c r="V629" s="79" t="s">
        <v>731</v>
      </c>
      <c r="W629" s="87" t="s">
        <v>106</v>
      </c>
      <c r="X629" s="87" t="s">
        <v>104</v>
      </c>
    </row>
    <row r="630" spans="1:24" ht="25.5" hidden="1">
      <c r="A630" s="91" t="s">
        <v>1272</v>
      </c>
      <c r="B630" s="75"/>
      <c r="C630" s="75"/>
      <c r="D630" s="75"/>
      <c r="E630" s="75"/>
      <c r="F630" s="318"/>
      <c r="G630" s="407"/>
      <c r="H630" s="75"/>
      <c r="I630" s="412"/>
      <c r="J630" s="420"/>
      <c r="K630" s="75"/>
      <c r="L630" s="75"/>
      <c r="M630" s="75"/>
      <c r="N630" s="75"/>
      <c r="O630" s="102"/>
      <c r="P630" s="79"/>
      <c r="Q630" s="79"/>
      <c r="R630" s="79">
        <v>44</v>
      </c>
      <c r="S630" s="80" t="s">
        <v>235</v>
      </c>
      <c r="T630" s="104" t="s">
        <v>100</v>
      </c>
      <c r="U630" s="79" t="s">
        <v>1273</v>
      </c>
      <c r="V630" s="79" t="s">
        <v>731</v>
      </c>
      <c r="W630" s="87" t="s">
        <v>106</v>
      </c>
      <c r="X630" s="87" t="s">
        <v>104</v>
      </c>
    </row>
    <row r="631" spans="1:24" hidden="1">
      <c r="A631" s="91" t="s">
        <v>1274</v>
      </c>
      <c r="B631" s="75"/>
      <c r="C631" s="75"/>
      <c r="D631" s="75"/>
      <c r="E631" s="75"/>
      <c r="F631" s="318"/>
      <c r="G631" s="407"/>
      <c r="H631" s="75"/>
      <c r="I631" s="412"/>
      <c r="J631" s="420"/>
      <c r="K631" s="75"/>
      <c r="L631" s="75"/>
      <c r="M631" s="75"/>
      <c r="N631" s="75"/>
      <c r="O631" s="102"/>
      <c r="P631" s="79"/>
      <c r="Q631" s="79"/>
      <c r="R631" s="79">
        <v>43</v>
      </c>
      <c r="S631" s="80" t="s">
        <v>235</v>
      </c>
      <c r="T631" s="104" t="s">
        <v>100</v>
      </c>
      <c r="U631" s="79" t="s">
        <v>1275</v>
      </c>
      <c r="V631" s="79" t="s">
        <v>731</v>
      </c>
      <c r="W631" s="87" t="s">
        <v>106</v>
      </c>
      <c r="X631" s="87" t="s">
        <v>104</v>
      </c>
    </row>
    <row r="632" spans="1:24" hidden="1">
      <c r="A632" s="91" t="s">
        <v>1274</v>
      </c>
      <c r="B632" s="75"/>
      <c r="C632" s="75"/>
      <c r="D632" s="75"/>
      <c r="E632" s="75"/>
      <c r="F632" s="318"/>
      <c r="G632" s="407"/>
      <c r="H632" s="75"/>
      <c r="I632" s="412"/>
      <c r="J632" s="420"/>
      <c r="K632" s="75"/>
      <c r="L632" s="75"/>
      <c r="M632" s="75"/>
      <c r="N632" s="75"/>
      <c r="O632" s="102"/>
      <c r="P632" s="79"/>
      <c r="Q632" s="79"/>
      <c r="R632" s="79">
        <v>38</v>
      </c>
      <c r="S632" s="80" t="s">
        <v>235</v>
      </c>
      <c r="T632" s="104" t="s">
        <v>100</v>
      </c>
      <c r="U632" s="79" t="s">
        <v>1276</v>
      </c>
      <c r="V632" s="79" t="s">
        <v>731</v>
      </c>
      <c r="W632" s="87" t="s">
        <v>106</v>
      </c>
      <c r="X632" s="87" t="s">
        <v>104</v>
      </c>
    </row>
    <row r="633" spans="1:24" hidden="1">
      <c r="A633" s="110"/>
      <c r="B633" s="111"/>
      <c r="C633" s="111"/>
      <c r="D633" s="111"/>
      <c r="E633" s="111"/>
      <c r="F633" s="318"/>
      <c r="G633" s="407"/>
      <c r="H633" s="111"/>
      <c r="I633" s="412"/>
      <c r="J633" s="420"/>
      <c r="K633" s="111"/>
      <c r="L633" s="111"/>
      <c r="M633" s="111"/>
      <c r="N633" s="111"/>
      <c r="O633" s="112"/>
      <c r="P633" s="79"/>
      <c r="Q633" s="79"/>
      <c r="R633" s="79"/>
      <c r="S633" s="113"/>
      <c r="T633" s="104"/>
      <c r="U633" s="79"/>
      <c r="V633" s="79"/>
      <c r="X633" s="87"/>
    </row>
    <row r="634" spans="1:24" hidden="1">
      <c r="A634" s="115" t="s">
        <v>1277</v>
      </c>
      <c r="B634" s="75"/>
      <c r="C634" s="75"/>
      <c r="D634" s="75"/>
      <c r="E634" s="75"/>
      <c r="F634" s="318"/>
      <c r="G634" s="407"/>
      <c r="H634" s="75"/>
      <c r="I634" s="412"/>
      <c r="J634" s="420"/>
      <c r="K634" s="75"/>
      <c r="L634" s="75"/>
      <c r="M634" s="75"/>
      <c r="N634" s="75"/>
      <c r="O634" s="102"/>
      <c r="P634" s="79"/>
      <c r="Q634" s="79"/>
      <c r="R634" s="79">
        <v>42</v>
      </c>
      <c r="S634" s="80" t="s">
        <v>1108</v>
      </c>
      <c r="T634" s="104" t="s">
        <v>100</v>
      </c>
      <c r="U634" s="79" t="s">
        <v>1278</v>
      </c>
      <c r="V634" s="79" t="s">
        <v>731</v>
      </c>
      <c r="W634" s="87" t="s">
        <v>106</v>
      </c>
      <c r="X634" s="87" t="s">
        <v>104</v>
      </c>
    </row>
    <row r="635" spans="1:24" hidden="1">
      <c r="A635" s="91" t="s">
        <v>1279</v>
      </c>
      <c r="B635" s="75"/>
      <c r="C635" s="75"/>
      <c r="D635" s="75"/>
      <c r="E635" s="75"/>
      <c r="F635" s="318"/>
      <c r="G635" s="407"/>
      <c r="H635" s="75"/>
      <c r="I635" s="412"/>
      <c r="J635" s="420"/>
      <c r="K635" s="75"/>
      <c r="L635" s="75"/>
      <c r="M635" s="75"/>
      <c r="N635" s="75"/>
      <c r="O635" s="102"/>
      <c r="P635" s="79"/>
      <c r="Q635" s="79"/>
      <c r="R635" s="79">
        <v>40</v>
      </c>
      <c r="S635" s="80" t="s">
        <v>1108</v>
      </c>
      <c r="T635" s="104" t="s">
        <v>100</v>
      </c>
      <c r="U635" s="79" t="s">
        <v>1280</v>
      </c>
      <c r="V635" s="79" t="s">
        <v>731</v>
      </c>
      <c r="W635" s="87" t="s">
        <v>106</v>
      </c>
      <c r="X635" s="87" t="s">
        <v>104</v>
      </c>
    </row>
    <row r="636" spans="1:24" ht="25.5" hidden="1">
      <c r="A636" s="91" t="s">
        <v>1281</v>
      </c>
      <c r="B636" s="75"/>
      <c r="C636" s="75"/>
      <c r="D636" s="75"/>
      <c r="E636" s="75"/>
      <c r="F636" s="318"/>
      <c r="G636" s="407"/>
      <c r="H636" s="75"/>
      <c r="I636" s="412"/>
      <c r="J636" s="420"/>
      <c r="K636" s="75"/>
      <c r="L636" s="75"/>
      <c r="M636" s="75"/>
      <c r="N636" s="75"/>
      <c r="O636" s="102"/>
      <c r="P636" s="79"/>
      <c r="Q636" s="79"/>
      <c r="R636" s="79">
        <v>35</v>
      </c>
      <c r="S636" s="80" t="s">
        <v>1108</v>
      </c>
      <c r="T636" s="104" t="s">
        <v>100</v>
      </c>
      <c r="U636" s="79" t="s">
        <v>1282</v>
      </c>
      <c r="V636" s="79" t="s">
        <v>731</v>
      </c>
      <c r="W636" s="87" t="s">
        <v>106</v>
      </c>
      <c r="X636" s="87" t="s">
        <v>104</v>
      </c>
    </row>
    <row r="637" spans="1:24" hidden="1">
      <c r="A637" s="91" t="s">
        <v>1283</v>
      </c>
      <c r="B637" s="75"/>
      <c r="C637" s="75"/>
      <c r="D637" s="75"/>
      <c r="E637" s="75"/>
      <c r="F637" s="318"/>
      <c r="G637" s="407"/>
      <c r="H637" s="75"/>
      <c r="I637" s="412"/>
      <c r="J637" s="420"/>
      <c r="K637" s="75"/>
      <c r="L637" s="75"/>
      <c r="M637" s="75"/>
      <c r="N637" s="75"/>
      <c r="O637" s="102"/>
      <c r="P637" s="79"/>
      <c r="Q637" s="79"/>
      <c r="R637" s="79">
        <v>39</v>
      </c>
      <c r="S637" s="80" t="s">
        <v>1108</v>
      </c>
      <c r="T637" s="104" t="s">
        <v>100</v>
      </c>
      <c r="U637" s="79" t="s">
        <v>1284</v>
      </c>
      <c r="V637" s="79" t="s">
        <v>731</v>
      </c>
      <c r="W637" s="87" t="s">
        <v>106</v>
      </c>
      <c r="X637" s="87" t="s">
        <v>104</v>
      </c>
    </row>
    <row r="638" spans="1:24" ht="25.5" hidden="1">
      <c r="A638" s="91" t="s">
        <v>1285</v>
      </c>
      <c r="B638" s="75"/>
      <c r="C638" s="75"/>
      <c r="D638" s="75"/>
      <c r="E638" s="75"/>
      <c r="F638" s="318"/>
      <c r="G638" s="407"/>
      <c r="H638" s="75"/>
      <c r="I638" s="412"/>
      <c r="J638" s="420"/>
      <c r="K638" s="75"/>
      <c r="L638" s="75"/>
      <c r="M638" s="75"/>
      <c r="N638" s="75"/>
      <c r="O638" s="102"/>
      <c r="P638" s="79"/>
      <c r="Q638" s="79"/>
      <c r="R638" s="79">
        <v>43</v>
      </c>
      <c r="S638" s="80" t="s">
        <v>1108</v>
      </c>
      <c r="T638" s="104" t="s">
        <v>100</v>
      </c>
      <c r="U638" s="79" t="s">
        <v>1286</v>
      </c>
      <c r="V638" s="79" t="s">
        <v>731</v>
      </c>
      <c r="W638" s="87" t="s">
        <v>106</v>
      </c>
      <c r="X638" s="87" t="s">
        <v>104</v>
      </c>
    </row>
    <row r="639" spans="1:24" ht="25.5" hidden="1">
      <c r="A639" s="91" t="s">
        <v>1287</v>
      </c>
      <c r="B639" s="75"/>
      <c r="C639" s="75"/>
      <c r="D639" s="75"/>
      <c r="E639" s="75"/>
      <c r="F639" s="318"/>
      <c r="G639" s="407"/>
      <c r="H639" s="75"/>
      <c r="I639" s="412"/>
      <c r="J639" s="420"/>
      <c r="K639" s="75"/>
      <c r="L639" s="75"/>
      <c r="M639" s="75"/>
      <c r="N639" s="75"/>
      <c r="O639" s="102"/>
      <c r="P639" s="79"/>
      <c r="Q639" s="79"/>
      <c r="R639" s="79">
        <v>39</v>
      </c>
      <c r="S639" s="80" t="s">
        <v>1108</v>
      </c>
      <c r="T639" s="104" t="s">
        <v>100</v>
      </c>
      <c r="U639" s="79" t="s">
        <v>1288</v>
      </c>
      <c r="V639" s="79" t="s">
        <v>731</v>
      </c>
      <c r="W639" s="87" t="s">
        <v>106</v>
      </c>
      <c r="X639" s="87" t="s">
        <v>104</v>
      </c>
    </row>
    <row r="640" spans="1:24" hidden="1">
      <c r="A640" s="91" t="s">
        <v>1289</v>
      </c>
      <c r="B640" s="75"/>
      <c r="C640" s="75"/>
      <c r="D640" s="75"/>
      <c r="E640" s="75"/>
      <c r="F640" s="318"/>
      <c r="G640" s="407"/>
      <c r="H640" s="75"/>
      <c r="I640" s="412"/>
      <c r="J640" s="420"/>
      <c r="K640" s="75"/>
      <c r="L640" s="75"/>
      <c r="M640" s="75"/>
      <c r="N640" s="75"/>
      <c r="O640" s="102"/>
      <c r="P640" s="79"/>
      <c r="Q640" s="79"/>
      <c r="R640" s="79">
        <v>41</v>
      </c>
      <c r="S640" s="80" t="s">
        <v>1108</v>
      </c>
      <c r="T640" s="104" t="s">
        <v>100</v>
      </c>
      <c r="U640" s="79" t="s">
        <v>1290</v>
      </c>
      <c r="V640" s="79" t="s">
        <v>731</v>
      </c>
      <c r="W640" s="87" t="s">
        <v>106</v>
      </c>
      <c r="X640" s="87" t="s">
        <v>104</v>
      </c>
    </row>
    <row r="641" spans="1:24" ht="25.5" hidden="1">
      <c r="A641" s="91" t="s">
        <v>1291</v>
      </c>
      <c r="B641" s="75"/>
      <c r="C641" s="75"/>
      <c r="D641" s="75"/>
      <c r="E641" s="75"/>
      <c r="F641" s="318"/>
      <c r="G641" s="407"/>
      <c r="H641" s="75"/>
      <c r="I641" s="412"/>
      <c r="J641" s="420"/>
      <c r="K641" s="75"/>
      <c r="L641" s="75"/>
      <c r="M641" s="75"/>
      <c r="N641" s="75"/>
      <c r="O641" s="102"/>
      <c r="P641" s="79"/>
      <c r="Q641" s="79"/>
      <c r="R641" s="79">
        <v>40</v>
      </c>
      <c r="S641" s="80" t="s">
        <v>1108</v>
      </c>
      <c r="T641" s="104" t="s">
        <v>100</v>
      </c>
      <c r="U641" s="79" t="s">
        <v>1292</v>
      </c>
      <c r="V641" s="79" t="s">
        <v>731</v>
      </c>
      <c r="W641" s="87" t="s">
        <v>106</v>
      </c>
      <c r="X641" s="87" t="s">
        <v>104</v>
      </c>
    </row>
    <row r="642" spans="1:24" hidden="1">
      <c r="A642" s="91" t="s">
        <v>1293</v>
      </c>
      <c r="B642" s="75"/>
      <c r="C642" s="75"/>
      <c r="D642" s="75"/>
      <c r="E642" s="75"/>
      <c r="F642" s="318"/>
      <c r="G642" s="407"/>
      <c r="H642" s="75"/>
      <c r="I642" s="412"/>
      <c r="J642" s="420"/>
      <c r="K642" s="75"/>
      <c r="L642" s="75"/>
      <c r="M642" s="75"/>
      <c r="N642" s="75"/>
      <c r="O642" s="102"/>
      <c r="P642" s="79"/>
      <c r="Q642" s="79"/>
      <c r="R642" s="79">
        <v>41</v>
      </c>
      <c r="S642" s="80" t="s">
        <v>1108</v>
      </c>
      <c r="T642" s="104" t="s">
        <v>100</v>
      </c>
      <c r="U642" s="79" t="s">
        <v>1294</v>
      </c>
      <c r="V642" s="79" t="s">
        <v>731</v>
      </c>
      <c r="W642" s="87" t="s">
        <v>106</v>
      </c>
      <c r="X642" s="87" t="s">
        <v>104</v>
      </c>
    </row>
    <row r="643" spans="1:24" ht="25.5" hidden="1">
      <c r="A643" s="91" t="s">
        <v>1295</v>
      </c>
      <c r="B643" s="75"/>
      <c r="C643" s="75"/>
      <c r="D643" s="75"/>
      <c r="E643" s="75"/>
      <c r="F643" s="318"/>
      <c r="G643" s="407"/>
      <c r="H643" s="75"/>
      <c r="I643" s="412"/>
      <c r="J643" s="420"/>
      <c r="K643" s="75"/>
      <c r="L643" s="75"/>
      <c r="M643" s="75"/>
      <c r="N643" s="75"/>
      <c r="O643" s="102"/>
      <c r="P643" s="79"/>
      <c r="Q643" s="79"/>
      <c r="R643" s="79">
        <v>42</v>
      </c>
      <c r="S643" s="80" t="s">
        <v>1108</v>
      </c>
      <c r="T643" s="104" t="s">
        <v>100</v>
      </c>
      <c r="U643" s="79" t="s">
        <v>1296</v>
      </c>
      <c r="V643" s="79" t="s">
        <v>731</v>
      </c>
      <c r="W643" s="87" t="s">
        <v>106</v>
      </c>
      <c r="X643" s="87" t="s">
        <v>104</v>
      </c>
    </row>
    <row r="644" spans="1:24" hidden="1">
      <c r="A644" s="91" t="s">
        <v>1297</v>
      </c>
      <c r="B644" s="75"/>
      <c r="C644" s="75"/>
      <c r="D644" s="75"/>
      <c r="E644" s="75"/>
      <c r="F644" s="318"/>
      <c r="G644" s="407"/>
      <c r="H644" s="75"/>
      <c r="I644" s="412"/>
      <c r="J644" s="420"/>
      <c r="K644" s="75"/>
      <c r="L644" s="75"/>
      <c r="M644" s="75"/>
      <c r="N644" s="75"/>
      <c r="O644" s="102"/>
      <c r="P644" s="79"/>
      <c r="Q644" s="79"/>
      <c r="R644" s="79">
        <v>39</v>
      </c>
      <c r="S644" s="80" t="s">
        <v>1108</v>
      </c>
      <c r="T644" s="104" t="s">
        <v>100</v>
      </c>
      <c r="U644" s="79" t="s">
        <v>1298</v>
      </c>
      <c r="V644" s="79" t="s">
        <v>731</v>
      </c>
      <c r="W644" s="87" t="s">
        <v>106</v>
      </c>
      <c r="X644" s="87" t="s">
        <v>104</v>
      </c>
    </row>
    <row r="645" spans="1:24" ht="25.5" hidden="1">
      <c r="A645" s="91" t="s">
        <v>1299</v>
      </c>
      <c r="B645" s="75"/>
      <c r="C645" s="75"/>
      <c r="D645" s="75"/>
      <c r="E645" s="75"/>
      <c r="F645" s="318"/>
      <c r="G645" s="407"/>
      <c r="H645" s="75"/>
      <c r="I645" s="412"/>
      <c r="J645" s="420"/>
      <c r="K645" s="75"/>
      <c r="L645" s="75"/>
      <c r="M645" s="75"/>
      <c r="N645" s="75"/>
      <c r="O645" s="102"/>
      <c r="P645" s="79"/>
      <c r="Q645" s="79"/>
      <c r="R645" s="79">
        <v>41</v>
      </c>
      <c r="S645" s="80" t="s">
        <v>1300</v>
      </c>
      <c r="T645" s="104" t="s">
        <v>100</v>
      </c>
      <c r="U645" s="79" t="s">
        <v>1301</v>
      </c>
      <c r="V645" s="79" t="s">
        <v>731</v>
      </c>
      <c r="W645" s="87" t="s">
        <v>106</v>
      </c>
      <c r="X645" s="87" t="s">
        <v>104</v>
      </c>
    </row>
    <row r="646" spans="1:24" hidden="1">
      <c r="A646" s="91" t="s">
        <v>1299</v>
      </c>
      <c r="B646" s="75"/>
      <c r="C646" s="75"/>
      <c r="D646" s="75"/>
      <c r="E646" s="75"/>
      <c r="F646" s="318"/>
      <c r="G646" s="407"/>
      <c r="H646" s="75"/>
      <c r="I646" s="412"/>
      <c r="J646" s="420"/>
      <c r="K646" s="75"/>
      <c r="L646" s="75"/>
      <c r="M646" s="75"/>
      <c r="N646" s="75"/>
      <c r="O646" s="102"/>
      <c r="P646" s="79"/>
      <c r="Q646" s="79"/>
      <c r="R646" s="79">
        <v>43</v>
      </c>
      <c r="S646" s="80" t="s">
        <v>242</v>
      </c>
      <c r="T646" s="104" t="s">
        <v>100</v>
      </c>
      <c r="U646" s="79" t="s">
        <v>1302</v>
      </c>
      <c r="V646" s="79" t="s">
        <v>731</v>
      </c>
      <c r="W646" s="87" t="s">
        <v>106</v>
      </c>
      <c r="X646" s="87" t="s">
        <v>104</v>
      </c>
    </row>
    <row r="647" spans="1:24" hidden="1">
      <c r="A647" s="91" t="s">
        <v>1303</v>
      </c>
      <c r="B647" s="75"/>
      <c r="C647" s="75"/>
      <c r="D647" s="75"/>
      <c r="E647" s="75"/>
      <c r="F647" s="318"/>
      <c r="G647" s="407"/>
      <c r="H647" s="75"/>
      <c r="I647" s="412"/>
      <c r="J647" s="420"/>
      <c r="K647" s="75"/>
      <c r="L647" s="75"/>
      <c r="M647" s="75"/>
      <c r="N647" s="75"/>
      <c r="O647" s="102"/>
      <c r="P647" s="79"/>
      <c r="Q647" s="79"/>
      <c r="R647" s="79">
        <v>39</v>
      </c>
      <c r="S647" s="80" t="s">
        <v>242</v>
      </c>
      <c r="T647" s="104" t="s">
        <v>100</v>
      </c>
      <c r="U647" s="79" t="s">
        <v>1304</v>
      </c>
      <c r="V647" s="79" t="s">
        <v>731</v>
      </c>
      <c r="W647" s="87" t="s">
        <v>106</v>
      </c>
      <c r="X647" s="87" t="s">
        <v>104</v>
      </c>
    </row>
    <row r="648" spans="1:24" hidden="1">
      <c r="A648" s="91" t="s">
        <v>1303</v>
      </c>
      <c r="B648" s="75"/>
      <c r="C648" s="75"/>
      <c r="D648" s="75"/>
      <c r="E648" s="75"/>
      <c r="F648" s="318"/>
      <c r="G648" s="407"/>
      <c r="H648" s="75"/>
      <c r="I648" s="412"/>
      <c r="J648" s="420"/>
      <c r="K648" s="75"/>
      <c r="L648" s="75"/>
      <c r="M648" s="75"/>
      <c r="N648" s="75"/>
      <c r="O648" s="102"/>
      <c r="P648" s="79"/>
      <c r="Q648" s="79"/>
      <c r="R648" s="79">
        <v>36</v>
      </c>
      <c r="S648" s="80" t="s">
        <v>242</v>
      </c>
      <c r="T648" s="104" t="s">
        <v>100</v>
      </c>
      <c r="U648" s="79" t="s">
        <v>1305</v>
      </c>
      <c r="V648" s="79" t="s">
        <v>731</v>
      </c>
      <c r="W648" s="87" t="s">
        <v>106</v>
      </c>
      <c r="X648" s="87" t="s">
        <v>104</v>
      </c>
    </row>
    <row r="649" spans="1:24" ht="25.5" hidden="1">
      <c r="A649" s="91" t="s">
        <v>1306</v>
      </c>
      <c r="B649" s="75"/>
      <c r="C649" s="75"/>
      <c r="D649" s="75"/>
      <c r="E649" s="75"/>
      <c r="F649" s="318"/>
      <c r="G649" s="407"/>
      <c r="H649" s="75"/>
      <c r="I649" s="412"/>
      <c r="J649" s="420"/>
      <c r="K649" s="75"/>
      <c r="L649" s="75"/>
      <c r="M649" s="75"/>
      <c r="N649" s="75"/>
      <c r="O649" s="102"/>
      <c r="P649" s="79"/>
      <c r="Q649" s="79"/>
      <c r="R649" s="79">
        <v>44</v>
      </c>
      <c r="S649" s="80" t="s">
        <v>242</v>
      </c>
      <c r="T649" s="104" t="s">
        <v>100</v>
      </c>
      <c r="U649" s="79" t="s">
        <v>1307</v>
      </c>
      <c r="V649" s="79" t="s">
        <v>731</v>
      </c>
      <c r="W649" s="87" t="s">
        <v>106</v>
      </c>
      <c r="X649" s="87" t="s">
        <v>104</v>
      </c>
    </row>
    <row r="650" spans="1:24" ht="25.5" hidden="1">
      <c r="A650" s="91" t="s">
        <v>1308</v>
      </c>
      <c r="B650" s="75"/>
      <c r="C650" s="75"/>
      <c r="D650" s="75"/>
      <c r="E650" s="75"/>
      <c r="F650" s="318"/>
      <c r="G650" s="407"/>
      <c r="H650" s="75"/>
      <c r="I650" s="412"/>
      <c r="J650" s="420"/>
      <c r="K650" s="75"/>
      <c r="L650" s="75"/>
      <c r="M650" s="75"/>
      <c r="N650" s="75"/>
      <c r="O650" s="102"/>
      <c r="P650" s="79"/>
      <c r="Q650" s="79"/>
      <c r="R650" s="79">
        <v>40</v>
      </c>
      <c r="S650" s="80" t="s">
        <v>242</v>
      </c>
      <c r="T650" s="104" t="s">
        <v>100</v>
      </c>
      <c r="U650" s="79" t="s">
        <v>1309</v>
      </c>
      <c r="V650" s="79" t="s">
        <v>731</v>
      </c>
      <c r="W650" s="87" t="s">
        <v>106</v>
      </c>
      <c r="X650" s="87" t="s">
        <v>104</v>
      </c>
    </row>
    <row r="651" spans="1:24" hidden="1">
      <c r="A651" s="91" t="s">
        <v>1310</v>
      </c>
      <c r="B651" s="75"/>
      <c r="C651" s="75"/>
      <c r="D651" s="75"/>
      <c r="E651" s="75"/>
      <c r="F651" s="318"/>
      <c r="G651" s="407"/>
      <c r="H651" s="75"/>
      <c r="I651" s="412"/>
      <c r="J651" s="420"/>
      <c r="K651" s="75"/>
      <c r="L651" s="75"/>
      <c r="M651" s="75"/>
      <c r="N651" s="75"/>
      <c r="O651" s="102"/>
      <c r="P651" s="79"/>
      <c r="Q651" s="79"/>
      <c r="R651" s="79">
        <v>42</v>
      </c>
      <c r="S651" s="80" t="s">
        <v>242</v>
      </c>
      <c r="T651" s="104" t="s">
        <v>100</v>
      </c>
      <c r="U651" s="79" t="s">
        <v>1311</v>
      </c>
      <c r="V651" s="79" t="s">
        <v>731</v>
      </c>
      <c r="W651" s="87" t="s">
        <v>106</v>
      </c>
      <c r="X651" s="87" t="s">
        <v>104</v>
      </c>
    </row>
    <row r="652" spans="1:24" hidden="1">
      <c r="A652" s="91" t="s">
        <v>1312</v>
      </c>
      <c r="B652" s="75"/>
      <c r="C652" s="75"/>
      <c r="D652" s="75"/>
      <c r="E652" s="75"/>
      <c r="F652" s="318"/>
      <c r="G652" s="407"/>
      <c r="H652" s="75"/>
      <c r="I652" s="412"/>
      <c r="J652" s="420"/>
      <c r="K652" s="75"/>
      <c r="L652" s="75"/>
      <c r="M652" s="75"/>
      <c r="N652" s="75"/>
      <c r="O652" s="102"/>
      <c r="P652" s="79"/>
      <c r="Q652" s="79"/>
      <c r="R652" s="79">
        <v>38</v>
      </c>
      <c r="S652" s="80" t="s">
        <v>242</v>
      </c>
      <c r="T652" s="104" t="s">
        <v>100</v>
      </c>
      <c r="U652" s="79" t="s">
        <v>1313</v>
      </c>
      <c r="V652" s="79" t="s">
        <v>731</v>
      </c>
      <c r="W652" s="87" t="s">
        <v>106</v>
      </c>
      <c r="X652" s="87" t="s">
        <v>104</v>
      </c>
    </row>
    <row r="653" spans="1:24" hidden="1">
      <c r="A653" s="91" t="s">
        <v>1312</v>
      </c>
      <c r="B653" s="75"/>
      <c r="C653" s="75"/>
      <c r="D653" s="75"/>
      <c r="E653" s="75"/>
      <c r="F653" s="318"/>
      <c r="G653" s="407"/>
      <c r="H653" s="75"/>
      <c r="I653" s="412"/>
      <c r="J653" s="420"/>
      <c r="K653" s="75"/>
      <c r="L653" s="75"/>
      <c r="M653" s="75"/>
      <c r="N653" s="75"/>
      <c r="O653" s="102"/>
      <c r="P653" s="79"/>
      <c r="Q653" s="79"/>
      <c r="R653" s="79">
        <v>44</v>
      </c>
      <c r="S653" s="80" t="s">
        <v>242</v>
      </c>
      <c r="T653" s="104" t="s">
        <v>100</v>
      </c>
      <c r="U653" s="79" t="s">
        <v>1314</v>
      </c>
      <c r="V653" s="79" t="s">
        <v>731</v>
      </c>
      <c r="W653" s="87" t="s">
        <v>106</v>
      </c>
      <c r="X653" s="87" t="s">
        <v>104</v>
      </c>
    </row>
    <row r="654" spans="1:24" ht="25.5" hidden="1">
      <c r="A654" s="91" t="s">
        <v>1315</v>
      </c>
      <c r="B654" s="75"/>
      <c r="C654" s="75"/>
      <c r="D654" s="75"/>
      <c r="E654" s="75"/>
      <c r="F654" s="318"/>
      <c r="G654" s="407"/>
      <c r="H654" s="75"/>
      <c r="I654" s="412"/>
      <c r="J654" s="420"/>
      <c r="K654" s="75"/>
      <c r="L654" s="75"/>
      <c r="M654" s="75"/>
      <c r="N654" s="75"/>
      <c r="O654" s="102"/>
      <c r="P654" s="79"/>
      <c r="Q654" s="79"/>
      <c r="R654" s="79">
        <v>40</v>
      </c>
      <c r="S654" s="80" t="s">
        <v>242</v>
      </c>
      <c r="T654" s="104" t="s">
        <v>100</v>
      </c>
      <c r="U654" s="79" t="s">
        <v>1316</v>
      </c>
      <c r="V654" s="79" t="s">
        <v>731</v>
      </c>
      <c r="W654" s="87" t="s">
        <v>106</v>
      </c>
      <c r="X654" s="87" t="s">
        <v>104</v>
      </c>
    </row>
    <row r="655" spans="1:24" hidden="1">
      <c r="A655" s="91" t="s">
        <v>1317</v>
      </c>
      <c r="B655" s="75"/>
      <c r="C655" s="75"/>
      <c r="D655" s="75"/>
      <c r="E655" s="75"/>
      <c r="F655" s="318"/>
      <c r="G655" s="407"/>
      <c r="H655" s="75"/>
      <c r="I655" s="412"/>
      <c r="J655" s="420"/>
      <c r="K655" s="75"/>
      <c r="L655" s="75"/>
      <c r="M655" s="75"/>
      <c r="N655" s="75"/>
      <c r="O655" s="102"/>
      <c r="P655" s="79"/>
      <c r="Q655" s="79"/>
      <c r="R655" s="79">
        <v>39</v>
      </c>
      <c r="S655" s="80" t="s">
        <v>242</v>
      </c>
      <c r="T655" s="104" t="s">
        <v>100</v>
      </c>
      <c r="U655" s="79" t="s">
        <v>1318</v>
      </c>
      <c r="V655" s="79" t="s">
        <v>731</v>
      </c>
      <c r="W655" s="87" t="s">
        <v>106</v>
      </c>
      <c r="X655" s="87" t="s">
        <v>104</v>
      </c>
    </row>
    <row r="656" spans="1:24" ht="25.5" hidden="1">
      <c r="A656" s="91" t="s">
        <v>1319</v>
      </c>
      <c r="B656" s="75"/>
      <c r="C656" s="75"/>
      <c r="D656" s="75"/>
      <c r="E656" s="75"/>
      <c r="F656" s="318"/>
      <c r="G656" s="407"/>
      <c r="H656" s="75"/>
      <c r="I656" s="412"/>
      <c r="J656" s="420"/>
      <c r="K656" s="75"/>
      <c r="L656" s="75"/>
      <c r="M656" s="75"/>
      <c r="N656" s="75"/>
      <c r="O656" s="102"/>
      <c r="P656" s="79"/>
      <c r="Q656" s="79"/>
      <c r="R656" s="79">
        <v>40</v>
      </c>
      <c r="S656" s="80" t="s">
        <v>242</v>
      </c>
      <c r="T656" s="104" t="s">
        <v>100</v>
      </c>
      <c r="U656" s="79" t="s">
        <v>1320</v>
      </c>
      <c r="V656" s="79" t="s">
        <v>731</v>
      </c>
      <c r="W656" s="87" t="s">
        <v>106</v>
      </c>
      <c r="X656" s="87" t="s">
        <v>104</v>
      </c>
    </row>
    <row r="657" spans="1:24" hidden="1">
      <c r="A657" s="91" t="s">
        <v>1321</v>
      </c>
      <c r="B657" s="75"/>
      <c r="C657" s="75"/>
      <c r="D657" s="75"/>
      <c r="E657" s="75"/>
      <c r="F657" s="318"/>
      <c r="G657" s="407"/>
      <c r="H657" s="75"/>
      <c r="I657" s="412"/>
      <c r="J657" s="420"/>
      <c r="K657" s="75"/>
      <c r="L657" s="75"/>
      <c r="M657" s="75"/>
      <c r="N657" s="75"/>
      <c r="O657" s="102"/>
      <c r="P657" s="79"/>
      <c r="Q657" s="79"/>
      <c r="R657" s="79">
        <v>43</v>
      </c>
      <c r="S657" s="80" t="s">
        <v>242</v>
      </c>
      <c r="T657" s="104" t="s">
        <v>100</v>
      </c>
      <c r="U657" s="79" t="s">
        <v>1322</v>
      </c>
      <c r="V657" s="79" t="s">
        <v>731</v>
      </c>
      <c r="W657" s="87" t="s">
        <v>106</v>
      </c>
      <c r="X657" s="87" t="s">
        <v>104</v>
      </c>
    </row>
    <row r="658" spans="1:24" ht="25.5" hidden="1">
      <c r="A658" s="91" t="s">
        <v>1323</v>
      </c>
      <c r="B658" s="75"/>
      <c r="C658" s="75"/>
      <c r="D658" s="75"/>
      <c r="E658" s="75"/>
      <c r="F658" s="318"/>
      <c r="G658" s="407"/>
      <c r="H658" s="75"/>
      <c r="I658" s="412"/>
      <c r="J658" s="420"/>
      <c r="K658" s="75"/>
      <c r="L658" s="75"/>
      <c r="M658" s="75"/>
      <c r="N658" s="75"/>
      <c r="O658" s="102"/>
      <c r="P658" s="79"/>
      <c r="Q658" s="79"/>
      <c r="R658" s="79">
        <v>38</v>
      </c>
      <c r="S658" s="80" t="s">
        <v>252</v>
      </c>
      <c r="T658" s="104" t="s">
        <v>100</v>
      </c>
      <c r="U658" s="79" t="s">
        <v>1324</v>
      </c>
      <c r="V658" s="79" t="s">
        <v>731</v>
      </c>
      <c r="W658" s="87" t="s">
        <v>106</v>
      </c>
      <c r="X658" s="87" t="s">
        <v>104</v>
      </c>
    </row>
    <row r="659" spans="1:24" ht="25.5" hidden="1">
      <c r="A659" s="91" t="s">
        <v>1325</v>
      </c>
      <c r="B659" s="75"/>
      <c r="C659" s="75"/>
      <c r="D659" s="75"/>
      <c r="E659" s="75"/>
      <c r="F659" s="318"/>
      <c r="G659" s="407"/>
      <c r="H659" s="75"/>
      <c r="I659" s="412"/>
      <c r="J659" s="420"/>
      <c r="K659" s="75"/>
      <c r="L659" s="75"/>
      <c r="M659" s="75"/>
      <c r="N659" s="75"/>
      <c r="O659" s="102"/>
      <c r="P659" s="79"/>
      <c r="Q659" s="79"/>
      <c r="R659" s="79">
        <v>38</v>
      </c>
      <c r="S659" s="80" t="s">
        <v>268</v>
      </c>
      <c r="T659" s="104" t="s">
        <v>100</v>
      </c>
      <c r="U659" s="79" t="s">
        <v>1326</v>
      </c>
      <c r="V659" s="79" t="s">
        <v>731</v>
      </c>
      <c r="W659" s="87" t="s">
        <v>106</v>
      </c>
      <c r="X659" s="87" t="s">
        <v>104</v>
      </c>
    </row>
    <row r="660" spans="1:24" hidden="1">
      <c r="A660" s="91" t="s">
        <v>1327</v>
      </c>
      <c r="B660" s="75"/>
      <c r="C660" s="75"/>
      <c r="D660" s="75"/>
      <c r="E660" s="75"/>
      <c r="F660" s="318"/>
      <c r="G660" s="407"/>
      <c r="H660" s="75"/>
      <c r="I660" s="412"/>
      <c r="J660" s="420"/>
      <c r="K660" s="75"/>
      <c r="L660" s="75"/>
      <c r="M660" s="75"/>
      <c r="N660" s="75"/>
      <c r="O660" s="102"/>
      <c r="P660" s="79"/>
      <c r="Q660" s="79"/>
      <c r="R660" s="79">
        <v>44</v>
      </c>
      <c r="S660" s="80" t="s">
        <v>268</v>
      </c>
      <c r="T660" s="104" t="s">
        <v>100</v>
      </c>
      <c r="U660" s="79" t="s">
        <v>1328</v>
      </c>
      <c r="V660" s="79" t="s">
        <v>731</v>
      </c>
      <c r="W660" s="87" t="s">
        <v>106</v>
      </c>
      <c r="X660" s="87" t="s">
        <v>104</v>
      </c>
    </row>
    <row r="661" spans="1:24" ht="25.5" hidden="1">
      <c r="A661" s="91" t="s">
        <v>1329</v>
      </c>
      <c r="B661" s="75"/>
      <c r="C661" s="75"/>
      <c r="D661" s="75"/>
      <c r="E661" s="75"/>
      <c r="F661" s="318"/>
      <c r="G661" s="407"/>
      <c r="H661" s="75"/>
      <c r="I661" s="412"/>
      <c r="J661" s="420"/>
      <c r="K661" s="75"/>
      <c r="L661" s="75"/>
      <c r="M661" s="75"/>
      <c r="N661" s="75"/>
      <c r="O661" s="102"/>
      <c r="P661" s="79"/>
      <c r="Q661" s="79"/>
      <c r="R661" s="79">
        <v>40</v>
      </c>
      <c r="S661" s="80" t="s">
        <v>257</v>
      </c>
      <c r="T661" s="104" t="s">
        <v>100</v>
      </c>
      <c r="U661" s="79" t="s">
        <v>1330</v>
      </c>
      <c r="V661" s="79" t="s">
        <v>731</v>
      </c>
      <c r="W661" s="87" t="s">
        <v>106</v>
      </c>
      <c r="X661" s="87" t="s">
        <v>104</v>
      </c>
    </row>
    <row r="662" spans="1:24" ht="25.5" hidden="1">
      <c r="A662" s="91" t="s">
        <v>1331</v>
      </c>
      <c r="B662" s="75"/>
      <c r="C662" s="75"/>
      <c r="D662" s="75"/>
      <c r="E662" s="75"/>
      <c r="F662" s="318"/>
      <c r="G662" s="407"/>
      <c r="H662" s="75"/>
      <c r="I662" s="412"/>
      <c r="J662" s="420"/>
      <c r="K662" s="75"/>
      <c r="L662" s="75"/>
      <c r="M662" s="75"/>
      <c r="N662" s="75"/>
      <c r="O662" s="102"/>
      <c r="P662" s="79"/>
      <c r="Q662" s="79"/>
      <c r="R662" s="79">
        <v>40</v>
      </c>
      <c r="S662" s="80" t="s">
        <v>272</v>
      </c>
      <c r="T662" s="104" t="s">
        <v>100</v>
      </c>
      <c r="U662" s="79" t="s">
        <v>1332</v>
      </c>
      <c r="V662" s="79" t="s">
        <v>731</v>
      </c>
      <c r="W662" s="87" t="s">
        <v>106</v>
      </c>
      <c r="X662" s="87" t="s">
        <v>104</v>
      </c>
    </row>
    <row r="663" spans="1:24" hidden="1">
      <c r="A663" s="91" t="s">
        <v>1333</v>
      </c>
      <c r="B663" s="75"/>
      <c r="C663" s="75"/>
      <c r="D663" s="75"/>
      <c r="E663" s="75"/>
      <c r="F663" s="318"/>
      <c r="G663" s="407"/>
      <c r="H663" s="75"/>
      <c r="I663" s="412"/>
      <c r="J663" s="420"/>
      <c r="K663" s="75"/>
      <c r="L663" s="75"/>
      <c r="M663" s="75"/>
      <c r="N663" s="75"/>
      <c r="O663" s="102"/>
      <c r="P663" s="79"/>
      <c r="Q663" s="79"/>
      <c r="R663" s="79">
        <v>34</v>
      </c>
      <c r="S663" s="80" t="s">
        <v>272</v>
      </c>
      <c r="T663" s="104" t="s">
        <v>100</v>
      </c>
      <c r="U663" s="79" t="s">
        <v>1334</v>
      </c>
      <c r="V663" s="79" t="s">
        <v>731</v>
      </c>
      <c r="W663" s="87" t="s">
        <v>106</v>
      </c>
      <c r="X663" s="87" t="s">
        <v>104</v>
      </c>
    </row>
    <row r="664" spans="1:24" ht="25.5" hidden="1">
      <c r="A664" s="91" t="s">
        <v>1335</v>
      </c>
      <c r="B664" s="75"/>
      <c r="C664" s="75"/>
      <c r="D664" s="75"/>
      <c r="E664" s="75"/>
      <c r="F664" s="318"/>
      <c r="G664" s="407"/>
      <c r="H664" s="75"/>
      <c r="I664" s="412"/>
      <c r="J664" s="420"/>
      <c r="K664" s="75"/>
      <c r="L664" s="75"/>
      <c r="M664" s="75"/>
      <c r="N664" s="75"/>
      <c r="O664" s="102"/>
      <c r="P664" s="79"/>
      <c r="Q664" s="79"/>
      <c r="R664" s="79">
        <v>37</v>
      </c>
      <c r="S664" s="80" t="s">
        <v>272</v>
      </c>
      <c r="T664" s="104" t="s">
        <v>100</v>
      </c>
      <c r="U664" s="79" t="s">
        <v>1336</v>
      </c>
      <c r="V664" s="79" t="s">
        <v>731</v>
      </c>
      <c r="W664" s="87" t="s">
        <v>106</v>
      </c>
      <c r="X664" s="87" t="s">
        <v>104</v>
      </c>
    </row>
    <row r="665" spans="1:24" hidden="1">
      <c r="A665" s="91" t="s">
        <v>1337</v>
      </c>
      <c r="B665" s="75"/>
      <c r="C665" s="75"/>
      <c r="D665" s="75"/>
      <c r="E665" s="75"/>
      <c r="F665" s="318"/>
      <c r="G665" s="407"/>
      <c r="H665" s="75"/>
      <c r="I665" s="412"/>
      <c r="J665" s="420"/>
      <c r="K665" s="75"/>
      <c r="L665" s="75"/>
      <c r="M665" s="75"/>
      <c r="N665" s="75"/>
      <c r="O665" s="102"/>
      <c r="P665" s="79"/>
      <c r="Q665" s="79"/>
      <c r="R665" s="79">
        <v>40</v>
      </c>
      <c r="S665" s="80" t="s">
        <v>272</v>
      </c>
      <c r="T665" s="104" t="s">
        <v>100</v>
      </c>
      <c r="U665" s="79" t="s">
        <v>1338</v>
      </c>
      <c r="V665" s="79" t="s">
        <v>731</v>
      </c>
      <c r="W665" s="87" t="s">
        <v>106</v>
      </c>
      <c r="X665" s="87" t="s">
        <v>104</v>
      </c>
    </row>
    <row r="666" spans="1:24" hidden="1">
      <c r="A666" s="91" t="s">
        <v>1337</v>
      </c>
      <c r="B666" s="75"/>
      <c r="C666" s="75"/>
      <c r="D666" s="75"/>
      <c r="E666" s="75"/>
      <c r="F666" s="318"/>
      <c r="G666" s="407"/>
      <c r="H666" s="75"/>
      <c r="I666" s="412"/>
      <c r="J666" s="420"/>
      <c r="K666" s="75"/>
      <c r="L666" s="75"/>
      <c r="M666" s="75"/>
      <c r="N666" s="75"/>
      <c r="O666" s="102"/>
      <c r="P666" s="79"/>
      <c r="Q666" s="79"/>
      <c r="R666" s="79">
        <v>33</v>
      </c>
      <c r="S666" s="80" t="s">
        <v>272</v>
      </c>
      <c r="T666" s="104" t="s">
        <v>100</v>
      </c>
      <c r="U666" s="79" t="s">
        <v>1339</v>
      </c>
      <c r="V666" s="79" t="s">
        <v>731</v>
      </c>
      <c r="W666" s="87" t="s">
        <v>106</v>
      </c>
      <c r="X666" s="87" t="s">
        <v>104</v>
      </c>
    </row>
    <row r="667" spans="1:24" hidden="1">
      <c r="A667" s="91" t="s">
        <v>1340</v>
      </c>
      <c r="B667" s="75"/>
      <c r="C667" s="75"/>
      <c r="D667" s="75"/>
      <c r="E667" s="75"/>
      <c r="F667" s="318"/>
      <c r="G667" s="407"/>
      <c r="H667" s="75"/>
      <c r="I667" s="412"/>
      <c r="J667" s="420"/>
      <c r="K667" s="75"/>
      <c r="L667" s="75"/>
      <c r="M667" s="75"/>
      <c r="N667" s="75"/>
      <c r="O667" s="102"/>
      <c r="P667" s="79"/>
      <c r="Q667" s="79"/>
      <c r="R667" s="79">
        <v>40</v>
      </c>
      <c r="S667" s="80" t="s">
        <v>272</v>
      </c>
      <c r="T667" s="104" t="s">
        <v>100</v>
      </c>
      <c r="U667" s="79" t="s">
        <v>1341</v>
      </c>
      <c r="V667" s="79" t="s">
        <v>731</v>
      </c>
      <c r="W667" s="87" t="s">
        <v>106</v>
      </c>
      <c r="X667" s="87" t="s">
        <v>104</v>
      </c>
    </row>
    <row r="668" spans="1:24" hidden="1">
      <c r="A668" s="91" t="s">
        <v>1340</v>
      </c>
      <c r="B668" s="75"/>
      <c r="C668" s="75"/>
      <c r="D668" s="75"/>
      <c r="E668" s="75"/>
      <c r="F668" s="318"/>
      <c r="G668" s="407"/>
      <c r="H668" s="75"/>
      <c r="I668" s="412"/>
      <c r="J668" s="420"/>
      <c r="K668" s="75"/>
      <c r="L668" s="75"/>
      <c r="M668" s="75"/>
      <c r="N668" s="75"/>
      <c r="O668" s="102"/>
      <c r="P668" s="79"/>
      <c r="Q668" s="79"/>
      <c r="R668" s="79">
        <v>40</v>
      </c>
      <c r="S668" s="80" t="s">
        <v>272</v>
      </c>
      <c r="T668" s="104" t="s">
        <v>100</v>
      </c>
      <c r="U668" s="79" t="s">
        <v>1342</v>
      </c>
      <c r="V668" s="79" t="s">
        <v>731</v>
      </c>
      <c r="W668" s="87" t="s">
        <v>106</v>
      </c>
      <c r="X668" s="87" t="s">
        <v>104</v>
      </c>
    </row>
    <row r="669" spans="1:24" hidden="1">
      <c r="A669" s="91" t="s">
        <v>1343</v>
      </c>
      <c r="B669" s="75"/>
      <c r="C669" s="75"/>
      <c r="D669" s="75"/>
      <c r="E669" s="75"/>
      <c r="F669" s="318"/>
      <c r="G669" s="407"/>
      <c r="H669" s="75"/>
      <c r="I669" s="412"/>
      <c r="J669" s="420"/>
      <c r="K669" s="75"/>
      <c r="L669" s="75"/>
      <c r="M669" s="75"/>
      <c r="N669" s="75"/>
      <c r="O669" s="102"/>
      <c r="P669" s="79"/>
      <c r="Q669" s="79"/>
      <c r="R669" s="79">
        <v>42</v>
      </c>
      <c r="S669" s="80" t="s">
        <v>272</v>
      </c>
      <c r="T669" s="104" t="s">
        <v>100</v>
      </c>
      <c r="U669" s="79" t="s">
        <v>1344</v>
      </c>
      <c r="V669" s="79" t="s">
        <v>731</v>
      </c>
      <c r="W669" s="87" t="s">
        <v>106</v>
      </c>
      <c r="X669" s="87" t="s">
        <v>104</v>
      </c>
    </row>
    <row r="670" spans="1:24" hidden="1">
      <c r="A670" s="91" t="s">
        <v>1343</v>
      </c>
      <c r="B670" s="75"/>
      <c r="C670" s="75"/>
      <c r="D670" s="75"/>
      <c r="E670" s="75"/>
      <c r="F670" s="318"/>
      <c r="G670" s="407"/>
      <c r="H670" s="75"/>
      <c r="I670" s="412"/>
      <c r="J670" s="420"/>
      <c r="K670" s="75"/>
      <c r="L670" s="75"/>
      <c r="M670" s="75"/>
      <c r="N670" s="75"/>
      <c r="O670" s="102"/>
      <c r="P670" s="79"/>
      <c r="Q670" s="79"/>
      <c r="R670" s="79">
        <v>39</v>
      </c>
      <c r="S670" s="80" t="s">
        <v>272</v>
      </c>
      <c r="T670" s="104" t="s">
        <v>100</v>
      </c>
      <c r="U670" s="79" t="s">
        <v>1345</v>
      </c>
      <c r="V670" s="79" t="s">
        <v>731</v>
      </c>
      <c r="W670" s="87" t="s">
        <v>106</v>
      </c>
      <c r="X670" s="87" t="s">
        <v>104</v>
      </c>
    </row>
    <row r="671" spans="1:24" hidden="1">
      <c r="A671" s="91" t="s">
        <v>1346</v>
      </c>
      <c r="B671" s="75"/>
      <c r="C671" s="75"/>
      <c r="D671" s="75"/>
      <c r="E671" s="75"/>
      <c r="F671" s="318"/>
      <c r="G671" s="407"/>
      <c r="H671" s="75"/>
      <c r="I671" s="412"/>
      <c r="J671" s="420"/>
      <c r="K671" s="75"/>
      <c r="L671" s="75"/>
      <c r="M671" s="75"/>
      <c r="N671" s="75"/>
      <c r="O671" s="102"/>
      <c r="P671" s="79"/>
      <c r="Q671" s="79"/>
      <c r="R671" s="79">
        <v>43</v>
      </c>
      <c r="S671" s="80" t="s">
        <v>272</v>
      </c>
      <c r="T671" s="104" t="s">
        <v>100</v>
      </c>
      <c r="U671" s="79" t="s">
        <v>1347</v>
      </c>
      <c r="V671" s="79" t="s">
        <v>731</v>
      </c>
      <c r="W671" s="87" t="s">
        <v>103</v>
      </c>
      <c r="X671" s="87" t="s">
        <v>104</v>
      </c>
    </row>
    <row r="672" spans="1:24" hidden="1">
      <c r="A672" s="91" t="s">
        <v>1346</v>
      </c>
      <c r="B672" s="75"/>
      <c r="C672" s="75"/>
      <c r="D672" s="75"/>
      <c r="E672" s="75"/>
      <c r="F672" s="318"/>
      <c r="G672" s="407"/>
      <c r="H672" s="75"/>
      <c r="I672" s="412"/>
      <c r="J672" s="420"/>
      <c r="K672" s="75"/>
      <c r="L672" s="75"/>
      <c r="M672" s="75"/>
      <c r="N672" s="75"/>
      <c r="O672" s="102"/>
      <c r="P672" s="79"/>
      <c r="Q672" s="79"/>
      <c r="R672" s="79">
        <v>36</v>
      </c>
      <c r="S672" s="80" t="s">
        <v>272</v>
      </c>
      <c r="T672" s="104" t="s">
        <v>100</v>
      </c>
      <c r="U672" s="79" t="s">
        <v>1348</v>
      </c>
      <c r="V672" s="79" t="s">
        <v>731</v>
      </c>
      <c r="W672" s="87" t="s">
        <v>103</v>
      </c>
      <c r="X672" s="87" t="s">
        <v>104</v>
      </c>
    </row>
    <row r="673" spans="1:24" hidden="1">
      <c r="A673" s="91" t="s">
        <v>1349</v>
      </c>
      <c r="B673" s="75"/>
      <c r="C673" s="75"/>
      <c r="D673" s="75"/>
      <c r="E673" s="75"/>
      <c r="F673" s="318"/>
      <c r="G673" s="407"/>
      <c r="H673" s="75"/>
      <c r="I673" s="412"/>
      <c r="J673" s="420"/>
      <c r="K673" s="75"/>
      <c r="L673" s="75"/>
      <c r="M673" s="75"/>
      <c r="N673" s="75"/>
      <c r="O673" s="102"/>
      <c r="P673" s="79"/>
      <c r="Q673" s="79"/>
      <c r="R673" s="79">
        <v>44</v>
      </c>
      <c r="S673" s="80" t="s">
        <v>272</v>
      </c>
      <c r="T673" s="104" t="s">
        <v>100</v>
      </c>
      <c r="U673" s="79" t="s">
        <v>1350</v>
      </c>
      <c r="V673" s="79" t="s">
        <v>731</v>
      </c>
      <c r="W673" s="87" t="s">
        <v>103</v>
      </c>
      <c r="X673" s="87" t="s">
        <v>104</v>
      </c>
    </row>
    <row r="674" spans="1:24" hidden="1">
      <c r="A674" s="91" t="s">
        <v>1349</v>
      </c>
      <c r="B674" s="75"/>
      <c r="C674" s="75"/>
      <c r="D674" s="75"/>
      <c r="E674" s="75"/>
      <c r="F674" s="318"/>
      <c r="G674" s="407"/>
      <c r="H674" s="75"/>
      <c r="I674" s="412"/>
      <c r="J674" s="420"/>
      <c r="K674" s="75"/>
      <c r="L674" s="75"/>
      <c r="M674" s="75"/>
      <c r="N674" s="75"/>
      <c r="O674" s="102"/>
      <c r="P674" s="79"/>
      <c r="Q674" s="79"/>
      <c r="R674" s="79">
        <v>44</v>
      </c>
      <c r="S674" s="80" t="s">
        <v>272</v>
      </c>
      <c r="T674" s="104" t="s">
        <v>100</v>
      </c>
      <c r="U674" s="79" t="s">
        <v>1351</v>
      </c>
      <c r="V674" s="79" t="s">
        <v>731</v>
      </c>
      <c r="W674" s="87" t="s">
        <v>103</v>
      </c>
      <c r="X674" s="87" t="s">
        <v>104</v>
      </c>
    </row>
    <row r="675" spans="1:24" hidden="1">
      <c r="A675" s="91" t="s">
        <v>1352</v>
      </c>
      <c r="B675" s="75"/>
      <c r="C675" s="75"/>
      <c r="D675" s="75"/>
      <c r="E675" s="75"/>
      <c r="F675" s="318"/>
      <c r="G675" s="407"/>
      <c r="H675" s="75"/>
      <c r="I675" s="412"/>
      <c r="J675" s="420"/>
      <c r="K675" s="75"/>
      <c r="L675" s="75"/>
      <c r="M675" s="75"/>
      <c r="N675" s="75"/>
      <c r="O675" s="102"/>
      <c r="P675" s="79"/>
      <c r="Q675" s="79"/>
      <c r="R675" s="79">
        <v>40</v>
      </c>
      <c r="S675" s="80" t="s">
        <v>272</v>
      </c>
      <c r="T675" s="104" t="s">
        <v>100</v>
      </c>
      <c r="U675" s="79" t="s">
        <v>1353</v>
      </c>
      <c r="V675" s="79" t="s">
        <v>731</v>
      </c>
      <c r="W675" s="87" t="s">
        <v>103</v>
      </c>
      <c r="X675" s="87" t="s">
        <v>104</v>
      </c>
    </row>
    <row r="676" spans="1:24" hidden="1">
      <c r="A676" s="91" t="s">
        <v>1352</v>
      </c>
      <c r="B676" s="75"/>
      <c r="C676" s="75"/>
      <c r="D676" s="75"/>
      <c r="E676" s="75"/>
      <c r="F676" s="318"/>
      <c r="G676" s="407"/>
      <c r="H676" s="75"/>
      <c r="I676" s="412"/>
      <c r="J676" s="420"/>
      <c r="K676" s="75"/>
      <c r="L676" s="75"/>
      <c r="M676" s="75"/>
      <c r="N676" s="75"/>
      <c r="O676" s="102"/>
      <c r="P676" s="79"/>
      <c r="Q676" s="79"/>
      <c r="R676" s="79">
        <v>40</v>
      </c>
      <c r="S676" s="80" t="s">
        <v>272</v>
      </c>
      <c r="T676" s="104" t="s">
        <v>100</v>
      </c>
      <c r="U676" s="79" t="s">
        <v>1354</v>
      </c>
      <c r="V676" s="79" t="s">
        <v>731</v>
      </c>
      <c r="W676" s="87" t="s">
        <v>103</v>
      </c>
      <c r="X676" s="87" t="s">
        <v>104</v>
      </c>
    </row>
    <row r="677" spans="1:24" hidden="1">
      <c r="A677" s="91" t="s">
        <v>1355</v>
      </c>
      <c r="B677" s="75"/>
      <c r="C677" s="75"/>
      <c r="D677" s="75"/>
      <c r="E677" s="75"/>
      <c r="F677" s="318"/>
      <c r="G677" s="407"/>
      <c r="H677" s="75"/>
      <c r="I677" s="412"/>
      <c r="J677" s="420"/>
      <c r="K677" s="75"/>
      <c r="L677" s="75"/>
      <c r="M677" s="75"/>
      <c r="N677" s="75"/>
      <c r="O677" s="102"/>
      <c r="P677" s="79"/>
      <c r="Q677" s="79"/>
      <c r="R677" s="79">
        <v>43</v>
      </c>
      <c r="S677" s="80" t="s">
        <v>272</v>
      </c>
      <c r="T677" s="104" t="s">
        <v>100</v>
      </c>
      <c r="U677" s="79" t="s">
        <v>1356</v>
      </c>
      <c r="V677" s="79" t="s">
        <v>731</v>
      </c>
      <c r="W677" s="87" t="s">
        <v>103</v>
      </c>
      <c r="X677" s="87" t="s">
        <v>104</v>
      </c>
    </row>
    <row r="678" spans="1:24" hidden="1">
      <c r="A678" s="91" t="s">
        <v>1355</v>
      </c>
      <c r="B678" s="75"/>
      <c r="C678" s="75"/>
      <c r="D678" s="75"/>
      <c r="E678" s="75"/>
      <c r="F678" s="318"/>
      <c r="G678" s="407"/>
      <c r="H678" s="75"/>
      <c r="I678" s="412"/>
      <c r="J678" s="420"/>
      <c r="K678" s="75"/>
      <c r="L678" s="75"/>
      <c r="M678" s="75"/>
      <c r="N678" s="75"/>
      <c r="O678" s="102"/>
      <c r="P678" s="79"/>
      <c r="Q678" s="79"/>
      <c r="R678" s="79">
        <v>38</v>
      </c>
      <c r="S678" s="80" t="s">
        <v>272</v>
      </c>
      <c r="T678" s="104" t="s">
        <v>100</v>
      </c>
      <c r="U678" s="79" t="s">
        <v>1357</v>
      </c>
      <c r="V678" s="79" t="s">
        <v>731</v>
      </c>
      <c r="W678" s="87" t="s">
        <v>103</v>
      </c>
      <c r="X678" s="87" t="s">
        <v>104</v>
      </c>
    </row>
    <row r="679" spans="1:24" ht="25.5" hidden="1">
      <c r="A679" s="91" t="s">
        <v>1358</v>
      </c>
      <c r="B679" s="75"/>
      <c r="C679" s="75"/>
      <c r="D679" s="75"/>
      <c r="E679" s="75"/>
      <c r="F679" s="318"/>
      <c r="G679" s="407"/>
      <c r="H679" s="75"/>
      <c r="I679" s="412"/>
      <c r="J679" s="420"/>
      <c r="K679" s="75"/>
      <c r="L679" s="75"/>
      <c r="M679" s="75"/>
      <c r="N679" s="75"/>
      <c r="O679" s="102"/>
      <c r="P679" s="79"/>
      <c r="Q679" s="79"/>
      <c r="R679" s="79">
        <v>43</v>
      </c>
      <c r="S679" s="80" t="s">
        <v>1359</v>
      </c>
      <c r="T679" s="104" t="s">
        <v>100</v>
      </c>
      <c r="U679" s="79" t="s">
        <v>1360</v>
      </c>
      <c r="V679" s="79" t="s">
        <v>731</v>
      </c>
      <c r="W679" s="87" t="s">
        <v>103</v>
      </c>
      <c r="X679" s="87" t="s">
        <v>104</v>
      </c>
    </row>
    <row r="680" spans="1:24" hidden="1">
      <c r="A680" s="91" t="s">
        <v>1358</v>
      </c>
      <c r="B680" s="75"/>
      <c r="C680" s="75"/>
      <c r="D680" s="75"/>
      <c r="E680" s="75"/>
      <c r="F680" s="318"/>
      <c r="G680" s="407"/>
      <c r="H680" s="75"/>
      <c r="I680" s="412"/>
      <c r="J680" s="420"/>
      <c r="K680" s="75"/>
      <c r="L680" s="75"/>
      <c r="M680" s="75"/>
      <c r="N680" s="75"/>
      <c r="O680" s="102"/>
      <c r="P680" s="79"/>
      <c r="Q680" s="79"/>
      <c r="R680" s="79">
        <v>26</v>
      </c>
      <c r="S680" s="80" t="s">
        <v>729</v>
      </c>
      <c r="T680" s="104" t="s">
        <v>100</v>
      </c>
      <c r="U680" s="79" t="s">
        <v>1361</v>
      </c>
      <c r="V680" s="79" t="s">
        <v>731</v>
      </c>
      <c r="W680" s="87" t="s">
        <v>103</v>
      </c>
      <c r="X680" s="87" t="s">
        <v>104</v>
      </c>
    </row>
    <row r="681" spans="1:24" hidden="1">
      <c r="A681" s="110"/>
      <c r="B681" s="111"/>
      <c r="C681" s="111"/>
      <c r="D681" s="111"/>
      <c r="E681" s="111"/>
      <c r="F681" s="318"/>
      <c r="G681" s="407"/>
      <c r="H681" s="111"/>
      <c r="I681" s="412"/>
      <c r="J681" s="420"/>
      <c r="K681" s="111"/>
      <c r="L681" s="111"/>
      <c r="M681" s="111"/>
      <c r="N681" s="111"/>
      <c r="O681" s="102"/>
      <c r="P681" s="79"/>
      <c r="Q681" s="79"/>
      <c r="R681" s="79"/>
      <c r="S681" s="116"/>
      <c r="T681" s="104"/>
      <c r="U681" s="79"/>
      <c r="V681" s="79"/>
      <c r="W681" s="87"/>
      <c r="X681" s="87"/>
    </row>
    <row r="682" spans="1:24" ht="25.5" hidden="1">
      <c r="A682" s="74" t="s">
        <v>1362</v>
      </c>
      <c r="B682" s="75"/>
      <c r="C682" s="75"/>
      <c r="D682" s="75"/>
      <c r="E682" s="75"/>
      <c r="F682" s="318"/>
      <c r="G682" s="407"/>
      <c r="H682" s="75"/>
      <c r="I682" s="412"/>
      <c r="J682" s="420"/>
      <c r="K682" s="75"/>
      <c r="L682" s="75"/>
      <c r="M682" s="75"/>
      <c r="N682" s="75"/>
      <c r="O682" s="102"/>
      <c r="P682" s="79"/>
      <c r="Q682" s="79"/>
      <c r="R682" s="79">
        <v>39</v>
      </c>
      <c r="S682" s="62" t="s">
        <v>1363</v>
      </c>
      <c r="T682" s="99" t="s">
        <v>398</v>
      </c>
      <c r="U682" s="63" t="s">
        <v>1364</v>
      </c>
      <c r="V682" s="79" t="s">
        <v>731</v>
      </c>
      <c r="W682" s="87" t="s">
        <v>437</v>
      </c>
      <c r="X682" s="87" t="s">
        <v>437</v>
      </c>
    </row>
    <row r="683" spans="1:24" hidden="1">
      <c r="A683" s="74" t="s">
        <v>1365</v>
      </c>
      <c r="B683" s="75"/>
      <c r="C683" s="75"/>
      <c r="D683" s="75"/>
      <c r="E683" s="75"/>
      <c r="F683" s="318"/>
      <c r="G683" s="407"/>
      <c r="H683" s="75"/>
      <c r="I683" s="412"/>
      <c r="J683" s="420"/>
      <c r="K683" s="75"/>
      <c r="L683" s="75"/>
      <c r="M683" s="75"/>
      <c r="N683" s="75"/>
      <c r="O683" s="102"/>
      <c r="P683" s="79"/>
      <c r="Q683" s="79"/>
      <c r="R683" s="79">
        <v>38</v>
      </c>
      <c r="S683" s="62" t="s">
        <v>499</v>
      </c>
      <c r="T683" s="99" t="s">
        <v>100</v>
      </c>
      <c r="U683" s="63" t="s">
        <v>1366</v>
      </c>
      <c r="V683" s="79" t="s">
        <v>731</v>
      </c>
      <c r="W683" s="87" t="s">
        <v>437</v>
      </c>
      <c r="X683" s="87" t="s">
        <v>437</v>
      </c>
    </row>
    <row r="684" spans="1:24" ht="25.5" hidden="1">
      <c r="A684" s="74" t="s">
        <v>1367</v>
      </c>
      <c r="B684" s="75"/>
      <c r="C684" s="75"/>
      <c r="D684" s="75"/>
      <c r="E684" s="75"/>
      <c r="F684" s="318"/>
      <c r="G684" s="407"/>
      <c r="H684" s="75"/>
      <c r="I684" s="412"/>
      <c r="J684" s="420"/>
      <c r="K684" s="75"/>
      <c r="L684" s="75"/>
      <c r="M684" s="75"/>
      <c r="N684" s="75"/>
      <c r="O684" s="102"/>
      <c r="P684" s="79"/>
      <c r="Q684" s="79"/>
      <c r="R684" s="79">
        <v>40</v>
      </c>
      <c r="S684" s="62" t="s">
        <v>499</v>
      </c>
      <c r="T684" s="99" t="s">
        <v>100</v>
      </c>
      <c r="U684" s="63" t="s">
        <v>1368</v>
      </c>
      <c r="V684" s="79" t="s">
        <v>731</v>
      </c>
      <c r="W684" s="87" t="s">
        <v>437</v>
      </c>
      <c r="X684" s="87" t="s">
        <v>437</v>
      </c>
    </row>
    <row r="685" spans="1:24" hidden="1">
      <c r="A685" s="74" t="s">
        <v>1367</v>
      </c>
      <c r="B685" s="75"/>
      <c r="C685" s="75"/>
      <c r="D685" s="75"/>
      <c r="E685" s="75"/>
      <c r="F685" s="318"/>
      <c r="G685" s="407"/>
      <c r="H685" s="75"/>
      <c r="I685" s="412"/>
      <c r="J685" s="420"/>
      <c r="K685" s="75"/>
      <c r="L685" s="75"/>
      <c r="M685" s="75"/>
      <c r="N685" s="75"/>
      <c r="O685" s="102"/>
      <c r="P685" s="79"/>
      <c r="Q685" s="79"/>
      <c r="R685" s="79">
        <v>42</v>
      </c>
      <c r="S685" s="62" t="s">
        <v>499</v>
      </c>
      <c r="T685" s="99" t="s">
        <v>100</v>
      </c>
      <c r="U685" s="63" t="s">
        <v>1369</v>
      </c>
      <c r="V685" s="79" t="s">
        <v>731</v>
      </c>
      <c r="W685" s="87" t="s">
        <v>437</v>
      </c>
      <c r="X685" s="87" t="s">
        <v>437</v>
      </c>
    </row>
    <row r="686" spans="1:24" hidden="1">
      <c r="A686" s="91" t="s">
        <v>1370</v>
      </c>
      <c r="B686" s="75"/>
      <c r="C686" s="75"/>
      <c r="D686" s="75"/>
      <c r="E686" s="75"/>
      <c r="F686" s="318"/>
      <c r="G686" s="407"/>
      <c r="H686" s="75"/>
      <c r="I686" s="412"/>
      <c r="J686" s="420"/>
      <c r="K686" s="75"/>
      <c r="L686" s="75"/>
      <c r="M686" s="75"/>
      <c r="N686" s="75"/>
      <c r="O686" s="102"/>
      <c r="P686" s="79"/>
      <c r="Q686" s="79"/>
      <c r="R686" s="79">
        <v>55</v>
      </c>
      <c r="S686" s="62" t="s">
        <v>488</v>
      </c>
      <c r="T686" s="99" t="s">
        <v>100</v>
      </c>
      <c r="U686" s="63" t="s">
        <v>1371</v>
      </c>
      <c r="V686" s="79" t="s">
        <v>731</v>
      </c>
      <c r="W686" s="87" t="s">
        <v>437</v>
      </c>
      <c r="X686" s="87" t="s">
        <v>437</v>
      </c>
    </row>
    <row r="687" spans="1:24" ht="25.5" hidden="1">
      <c r="A687" s="91" t="s">
        <v>1370</v>
      </c>
      <c r="B687" s="75"/>
      <c r="C687" s="75"/>
      <c r="D687" s="75"/>
      <c r="E687" s="75"/>
      <c r="F687" s="318"/>
      <c r="G687" s="407"/>
      <c r="H687" s="75"/>
      <c r="I687" s="412"/>
      <c r="J687" s="420"/>
      <c r="K687" s="75"/>
      <c r="L687" s="75"/>
      <c r="M687" s="75"/>
      <c r="N687" s="75"/>
      <c r="O687" s="102"/>
      <c r="P687" s="79"/>
      <c r="Q687" s="79"/>
      <c r="R687" s="79">
        <v>59</v>
      </c>
      <c r="S687" s="62" t="s">
        <v>488</v>
      </c>
      <c r="T687" s="99" t="s">
        <v>100</v>
      </c>
      <c r="U687" s="63" t="s">
        <v>1372</v>
      </c>
      <c r="V687" s="79" t="s">
        <v>731</v>
      </c>
      <c r="W687" s="87" t="s">
        <v>437</v>
      </c>
      <c r="X687" s="87" t="s">
        <v>437</v>
      </c>
    </row>
    <row r="688" spans="1:24" hidden="1">
      <c r="A688" s="91" t="s">
        <v>1373</v>
      </c>
      <c r="B688" s="75"/>
      <c r="C688" s="75"/>
      <c r="D688" s="75"/>
      <c r="E688" s="75"/>
      <c r="F688" s="318"/>
      <c r="G688" s="407"/>
      <c r="H688" s="75"/>
      <c r="I688" s="412"/>
      <c r="J688" s="420"/>
      <c r="K688" s="75"/>
      <c r="L688" s="75"/>
      <c r="M688" s="75"/>
      <c r="N688" s="75"/>
      <c r="O688" s="102"/>
      <c r="P688" s="79"/>
      <c r="Q688" s="79"/>
      <c r="R688" s="79">
        <v>53</v>
      </c>
      <c r="S688" s="62" t="s">
        <v>488</v>
      </c>
      <c r="T688" s="99" t="s">
        <v>100</v>
      </c>
      <c r="U688" s="63" t="s">
        <v>1374</v>
      </c>
      <c r="V688" s="79" t="s">
        <v>731</v>
      </c>
      <c r="W688" s="87" t="s">
        <v>437</v>
      </c>
      <c r="X688" s="87" t="s">
        <v>437</v>
      </c>
    </row>
    <row r="689" spans="1:24" ht="25.5" hidden="1">
      <c r="A689" s="91" t="s">
        <v>1375</v>
      </c>
      <c r="B689" s="75"/>
      <c r="C689" s="75"/>
      <c r="D689" s="75"/>
      <c r="E689" s="75"/>
      <c r="F689" s="318"/>
      <c r="G689" s="407"/>
      <c r="H689" s="75"/>
      <c r="I689" s="412"/>
      <c r="J689" s="420"/>
      <c r="K689" s="75"/>
      <c r="L689" s="75"/>
      <c r="M689" s="75"/>
      <c r="N689" s="75"/>
      <c r="O689" s="102"/>
      <c r="P689" s="79"/>
      <c r="Q689" s="79"/>
      <c r="R689" s="79">
        <v>56</v>
      </c>
      <c r="S689" s="62" t="s">
        <v>1376</v>
      </c>
      <c r="T689" s="99" t="s">
        <v>100</v>
      </c>
      <c r="U689" s="63" t="s">
        <v>1377</v>
      </c>
      <c r="V689" s="79" t="s">
        <v>731</v>
      </c>
      <c r="W689" s="87" t="s">
        <v>437</v>
      </c>
      <c r="X689" s="87" t="s">
        <v>437</v>
      </c>
    </row>
    <row r="690" spans="1:24" ht="25.5" hidden="1">
      <c r="A690" s="91" t="s">
        <v>1378</v>
      </c>
      <c r="B690" s="75"/>
      <c r="C690" s="75"/>
      <c r="D690" s="75"/>
      <c r="E690" s="75"/>
      <c r="F690" s="318"/>
      <c r="G690" s="407"/>
      <c r="H690" s="75"/>
      <c r="I690" s="412"/>
      <c r="J690" s="420"/>
      <c r="K690" s="75"/>
      <c r="L690" s="75"/>
      <c r="M690" s="75"/>
      <c r="N690" s="75"/>
      <c r="O690" s="102"/>
      <c r="P690" s="79"/>
      <c r="Q690" s="79"/>
      <c r="R690" s="79">
        <v>50</v>
      </c>
      <c r="S690" s="62" t="s">
        <v>518</v>
      </c>
      <c r="T690" s="99" t="s">
        <v>100</v>
      </c>
      <c r="U690" s="63" t="s">
        <v>1379</v>
      </c>
      <c r="V690" s="79" t="s">
        <v>731</v>
      </c>
      <c r="W690" s="87" t="s">
        <v>437</v>
      </c>
      <c r="X690" s="87" t="s">
        <v>437</v>
      </c>
    </row>
    <row r="691" spans="1:24" hidden="1">
      <c r="A691" s="91" t="s">
        <v>1380</v>
      </c>
      <c r="B691" s="75"/>
      <c r="C691" s="75"/>
      <c r="D691" s="75"/>
      <c r="E691" s="75"/>
      <c r="F691" s="318"/>
      <c r="G691" s="407"/>
      <c r="H691" s="75"/>
      <c r="I691" s="412"/>
      <c r="J691" s="420"/>
      <c r="K691" s="75"/>
      <c r="L691" s="75"/>
      <c r="M691" s="75"/>
      <c r="N691" s="75"/>
      <c r="O691" s="102"/>
      <c r="P691" s="79"/>
      <c r="Q691" s="79"/>
      <c r="R691" s="79">
        <v>60</v>
      </c>
      <c r="S691" s="62" t="s">
        <v>518</v>
      </c>
      <c r="T691" s="99" t="s">
        <v>100</v>
      </c>
      <c r="U691" s="63" t="s">
        <v>1381</v>
      </c>
      <c r="V691" s="79" t="s">
        <v>731</v>
      </c>
      <c r="W691" s="87" t="s">
        <v>437</v>
      </c>
      <c r="X691" s="87" t="s">
        <v>437</v>
      </c>
    </row>
    <row r="692" spans="1:24" hidden="1">
      <c r="A692" s="91" t="s">
        <v>1382</v>
      </c>
      <c r="B692" s="75"/>
      <c r="C692" s="75"/>
      <c r="D692" s="75"/>
      <c r="E692" s="75"/>
      <c r="F692" s="318"/>
      <c r="G692" s="407"/>
      <c r="H692" s="75"/>
      <c r="I692" s="412"/>
      <c r="J692" s="420"/>
      <c r="K692" s="75"/>
      <c r="L692" s="75"/>
      <c r="M692" s="75"/>
      <c r="N692" s="75"/>
      <c r="O692" s="102"/>
      <c r="P692" s="79"/>
      <c r="Q692" s="79"/>
      <c r="R692" s="79">
        <v>57</v>
      </c>
      <c r="S692" s="62" t="s">
        <v>518</v>
      </c>
      <c r="T692" s="99" t="s">
        <v>100</v>
      </c>
      <c r="U692" s="63" t="s">
        <v>1383</v>
      </c>
      <c r="V692" s="79" t="s">
        <v>731</v>
      </c>
      <c r="W692" s="87" t="s">
        <v>437</v>
      </c>
      <c r="X692" s="87" t="s">
        <v>437</v>
      </c>
    </row>
    <row r="693" spans="1:24" ht="25.5" hidden="1">
      <c r="A693" s="91" t="s">
        <v>1384</v>
      </c>
      <c r="B693" s="75"/>
      <c r="C693" s="75"/>
      <c r="D693" s="75"/>
      <c r="E693" s="75"/>
      <c r="F693" s="318"/>
      <c r="G693" s="407"/>
      <c r="H693" s="75"/>
      <c r="I693" s="412"/>
      <c r="J693" s="420"/>
      <c r="K693" s="75"/>
      <c r="L693" s="75"/>
      <c r="M693" s="75"/>
      <c r="N693" s="75"/>
      <c r="O693" s="102"/>
      <c r="P693" s="79"/>
      <c r="Q693" s="79"/>
      <c r="R693" s="79">
        <v>56</v>
      </c>
      <c r="S693" s="62" t="s">
        <v>518</v>
      </c>
      <c r="T693" s="99" t="s">
        <v>100</v>
      </c>
      <c r="U693" s="63" t="s">
        <v>1385</v>
      </c>
      <c r="V693" s="79" t="s">
        <v>731</v>
      </c>
      <c r="W693" s="87" t="s">
        <v>437</v>
      </c>
      <c r="X693" s="87" t="s">
        <v>437</v>
      </c>
    </row>
    <row r="694" spans="1:24" ht="25.5" hidden="1">
      <c r="A694" s="91" t="s">
        <v>1386</v>
      </c>
      <c r="B694" s="75"/>
      <c r="C694" s="75"/>
      <c r="D694" s="75"/>
      <c r="E694" s="75"/>
      <c r="F694" s="318"/>
      <c r="G694" s="407"/>
      <c r="H694" s="75"/>
      <c r="I694" s="412"/>
      <c r="J694" s="420"/>
      <c r="K694" s="75"/>
      <c r="L694" s="75"/>
      <c r="M694" s="75"/>
      <c r="N694" s="75"/>
      <c r="O694" s="102"/>
      <c r="P694" s="79"/>
      <c r="Q694" s="79"/>
      <c r="R694" s="79">
        <v>56</v>
      </c>
      <c r="S694" s="62" t="s">
        <v>518</v>
      </c>
      <c r="T694" s="99" t="s">
        <v>100</v>
      </c>
      <c r="U694" s="63" t="s">
        <v>1387</v>
      </c>
      <c r="V694" s="79" t="s">
        <v>731</v>
      </c>
      <c r="W694" s="87" t="s">
        <v>437</v>
      </c>
      <c r="X694" s="87" t="s">
        <v>437</v>
      </c>
    </row>
    <row r="695" spans="1:24" hidden="1">
      <c r="A695" s="91" t="s">
        <v>1388</v>
      </c>
      <c r="B695" s="75"/>
      <c r="C695" s="75"/>
      <c r="D695" s="75"/>
      <c r="E695" s="75"/>
      <c r="F695" s="318"/>
      <c r="G695" s="407"/>
      <c r="H695" s="75"/>
      <c r="I695" s="412"/>
      <c r="J695" s="420"/>
      <c r="K695" s="75"/>
      <c r="L695" s="75"/>
      <c r="M695" s="75"/>
      <c r="N695" s="75"/>
      <c r="O695" s="102"/>
      <c r="P695" s="79"/>
      <c r="Q695" s="79"/>
      <c r="R695" s="79">
        <v>60</v>
      </c>
      <c r="S695" s="62" t="s">
        <v>518</v>
      </c>
      <c r="T695" s="99" t="s">
        <v>100</v>
      </c>
      <c r="U695" s="63" t="s">
        <v>1389</v>
      </c>
      <c r="V695" s="79" t="s">
        <v>731</v>
      </c>
      <c r="W695" s="87" t="s">
        <v>437</v>
      </c>
      <c r="X695" s="87" t="s">
        <v>437</v>
      </c>
    </row>
    <row r="696" spans="1:24" ht="25.5" hidden="1">
      <c r="A696" s="91" t="s">
        <v>1390</v>
      </c>
      <c r="B696" s="75"/>
      <c r="C696" s="75"/>
      <c r="D696" s="75"/>
      <c r="E696" s="75"/>
      <c r="F696" s="318"/>
      <c r="G696" s="407"/>
      <c r="H696" s="75"/>
      <c r="I696" s="412"/>
      <c r="J696" s="420"/>
      <c r="K696" s="75"/>
      <c r="L696" s="75"/>
      <c r="M696" s="75"/>
      <c r="N696" s="75"/>
      <c r="O696" s="102"/>
      <c r="P696" s="79"/>
      <c r="Q696" s="79"/>
      <c r="R696" s="79">
        <v>61</v>
      </c>
      <c r="S696" s="62" t="s">
        <v>518</v>
      </c>
      <c r="T696" s="99" t="s">
        <v>100</v>
      </c>
      <c r="U696" s="63" t="s">
        <v>1391</v>
      </c>
      <c r="V696" s="79" t="s">
        <v>731</v>
      </c>
      <c r="W696" s="87" t="s">
        <v>437</v>
      </c>
      <c r="X696" s="87" t="s">
        <v>437</v>
      </c>
    </row>
    <row r="697" spans="1:24" ht="25.5" hidden="1">
      <c r="A697" s="91" t="s">
        <v>1392</v>
      </c>
      <c r="B697" s="75"/>
      <c r="C697" s="75"/>
      <c r="D697" s="75"/>
      <c r="E697" s="75"/>
      <c r="F697" s="318"/>
      <c r="G697" s="407"/>
      <c r="H697" s="75"/>
      <c r="I697" s="412"/>
      <c r="J697" s="420"/>
      <c r="K697" s="75"/>
      <c r="L697" s="75"/>
      <c r="M697" s="75"/>
      <c r="N697" s="75"/>
      <c r="O697" s="102"/>
      <c r="P697" s="79"/>
      <c r="Q697" s="79"/>
      <c r="R697" s="79">
        <v>60</v>
      </c>
      <c r="S697" s="62" t="s">
        <v>518</v>
      </c>
      <c r="T697" s="99" t="s">
        <v>100</v>
      </c>
      <c r="U697" s="63" t="s">
        <v>1393</v>
      </c>
      <c r="V697" s="79" t="s">
        <v>731</v>
      </c>
      <c r="W697" s="87" t="s">
        <v>437</v>
      </c>
      <c r="X697" s="87" t="s">
        <v>437</v>
      </c>
    </row>
    <row r="698" spans="1:24" hidden="1">
      <c r="A698" s="91" t="s">
        <v>1394</v>
      </c>
      <c r="B698" s="75"/>
      <c r="C698" s="75"/>
      <c r="D698" s="75"/>
      <c r="E698" s="75"/>
      <c r="F698" s="318"/>
      <c r="G698" s="407"/>
      <c r="H698" s="75"/>
      <c r="I698" s="412"/>
      <c r="J698" s="420"/>
      <c r="K698" s="75"/>
      <c r="L698" s="75"/>
      <c r="M698" s="75"/>
      <c r="N698" s="75"/>
      <c r="O698" s="102"/>
      <c r="P698" s="79"/>
      <c r="Q698" s="79"/>
      <c r="R698" s="79">
        <v>54</v>
      </c>
      <c r="S698" s="62" t="s">
        <v>518</v>
      </c>
      <c r="T698" s="99" t="s">
        <v>100</v>
      </c>
      <c r="U698" s="63" t="s">
        <v>1395</v>
      </c>
      <c r="V698" s="79" t="s">
        <v>731</v>
      </c>
      <c r="W698" s="87" t="s">
        <v>437</v>
      </c>
      <c r="X698" s="87" t="s">
        <v>437</v>
      </c>
    </row>
    <row r="699" spans="1:24" hidden="1">
      <c r="A699" s="91" t="s">
        <v>1396</v>
      </c>
      <c r="B699" s="75"/>
      <c r="C699" s="75"/>
      <c r="D699" s="75"/>
      <c r="E699" s="75"/>
      <c r="F699" s="318"/>
      <c r="G699" s="407"/>
      <c r="H699" s="75"/>
      <c r="I699" s="412"/>
      <c r="J699" s="420"/>
      <c r="K699" s="75"/>
      <c r="L699" s="75"/>
      <c r="M699" s="75"/>
      <c r="N699" s="75"/>
      <c r="O699" s="102"/>
      <c r="P699" s="79"/>
      <c r="Q699" s="79"/>
      <c r="R699" s="79">
        <v>57</v>
      </c>
      <c r="S699" s="62" t="s">
        <v>518</v>
      </c>
      <c r="T699" s="99" t="s">
        <v>100</v>
      </c>
      <c r="U699" s="63" t="s">
        <v>1397</v>
      </c>
      <c r="V699" s="79" t="s">
        <v>731</v>
      </c>
      <c r="W699" s="87" t="s">
        <v>437</v>
      </c>
      <c r="X699" s="87" t="s">
        <v>437</v>
      </c>
    </row>
    <row r="700" spans="1:24" ht="25.5" hidden="1">
      <c r="A700" s="91" t="s">
        <v>1398</v>
      </c>
      <c r="B700" s="75"/>
      <c r="C700" s="75"/>
      <c r="D700" s="75"/>
      <c r="E700" s="75"/>
      <c r="F700" s="318"/>
      <c r="G700" s="407"/>
      <c r="H700" s="75"/>
      <c r="I700" s="412"/>
      <c r="J700" s="420"/>
      <c r="K700" s="75"/>
      <c r="L700" s="75"/>
      <c r="M700" s="75"/>
      <c r="N700" s="75"/>
      <c r="O700" s="102"/>
      <c r="P700" s="79"/>
      <c r="Q700" s="79"/>
      <c r="R700" s="79">
        <v>62</v>
      </c>
      <c r="S700" s="62" t="s">
        <v>518</v>
      </c>
      <c r="T700" s="99" t="s">
        <v>100</v>
      </c>
      <c r="U700" s="63" t="s">
        <v>1399</v>
      </c>
      <c r="V700" s="79" t="s">
        <v>731</v>
      </c>
      <c r="W700" s="87" t="s">
        <v>437</v>
      </c>
      <c r="X700" s="87" t="s">
        <v>437</v>
      </c>
    </row>
    <row r="701" spans="1:24" hidden="1">
      <c r="A701" s="91" t="s">
        <v>1400</v>
      </c>
      <c r="B701" s="75"/>
      <c r="C701" s="75"/>
      <c r="D701" s="75"/>
      <c r="E701" s="75"/>
      <c r="F701" s="318"/>
      <c r="G701" s="407"/>
      <c r="H701" s="75"/>
      <c r="I701" s="412"/>
      <c r="J701" s="420"/>
      <c r="K701" s="75"/>
      <c r="L701" s="75"/>
      <c r="M701" s="75"/>
      <c r="N701" s="75"/>
      <c r="O701" s="102"/>
      <c r="P701" s="79"/>
      <c r="Q701" s="79"/>
      <c r="R701" s="79">
        <v>38</v>
      </c>
      <c r="S701" s="62" t="s">
        <v>518</v>
      </c>
      <c r="T701" s="99" t="s">
        <v>100</v>
      </c>
      <c r="U701" s="63" t="s">
        <v>1401</v>
      </c>
      <c r="V701" s="79" t="s">
        <v>731</v>
      </c>
      <c r="W701" s="87" t="s">
        <v>437</v>
      </c>
      <c r="X701" s="87" t="s">
        <v>437</v>
      </c>
    </row>
    <row r="702" spans="1:24" ht="25.5" hidden="1">
      <c r="A702" s="91" t="s">
        <v>1402</v>
      </c>
      <c r="B702" s="75"/>
      <c r="C702" s="75"/>
      <c r="D702" s="75"/>
      <c r="E702" s="75"/>
      <c r="F702" s="318"/>
      <c r="G702" s="407"/>
      <c r="H702" s="75"/>
      <c r="I702" s="412"/>
      <c r="J702" s="420"/>
      <c r="K702" s="75"/>
      <c r="L702" s="75"/>
      <c r="M702" s="75"/>
      <c r="N702" s="75"/>
      <c r="O702" s="102"/>
      <c r="P702" s="79"/>
      <c r="Q702" s="79"/>
      <c r="R702" s="79">
        <v>39</v>
      </c>
      <c r="S702" s="62" t="s">
        <v>518</v>
      </c>
      <c r="T702" s="99" t="s">
        <v>100</v>
      </c>
      <c r="U702" s="63" t="s">
        <v>1403</v>
      </c>
      <c r="V702" s="79" t="s">
        <v>731</v>
      </c>
      <c r="W702" s="87" t="s">
        <v>437</v>
      </c>
      <c r="X702" s="87" t="s">
        <v>437</v>
      </c>
    </row>
    <row r="703" spans="1:24" hidden="1">
      <c r="A703" s="91" t="s">
        <v>1404</v>
      </c>
      <c r="B703" s="75"/>
      <c r="C703" s="75"/>
      <c r="D703" s="75"/>
      <c r="E703" s="75"/>
      <c r="F703" s="318"/>
      <c r="G703" s="407"/>
      <c r="H703" s="75"/>
      <c r="I703" s="412"/>
      <c r="J703" s="420"/>
      <c r="K703" s="75"/>
      <c r="L703" s="75"/>
      <c r="M703" s="75"/>
      <c r="N703" s="75"/>
      <c r="O703" s="102"/>
      <c r="P703" s="79"/>
      <c r="Q703" s="79"/>
      <c r="R703" s="79">
        <v>42</v>
      </c>
      <c r="S703" s="62" t="s">
        <v>518</v>
      </c>
      <c r="T703" s="99" t="s">
        <v>100</v>
      </c>
      <c r="U703" s="63" t="s">
        <v>1405</v>
      </c>
      <c r="V703" s="79" t="s">
        <v>731</v>
      </c>
      <c r="W703" s="87" t="s">
        <v>437</v>
      </c>
      <c r="X703" s="87" t="s">
        <v>437</v>
      </c>
    </row>
    <row r="704" spans="1:24" ht="25.5" hidden="1">
      <c r="A704" s="91" t="s">
        <v>1406</v>
      </c>
      <c r="B704" s="75"/>
      <c r="C704" s="75"/>
      <c r="D704" s="75"/>
      <c r="E704" s="75"/>
      <c r="F704" s="318"/>
      <c r="G704" s="407"/>
      <c r="H704" s="75"/>
      <c r="I704" s="412"/>
      <c r="J704" s="420"/>
      <c r="K704" s="75"/>
      <c r="L704" s="75"/>
      <c r="M704" s="75"/>
      <c r="N704" s="75"/>
      <c r="O704" s="102"/>
      <c r="P704" s="79"/>
      <c r="Q704" s="79"/>
      <c r="R704" s="79">
        <v>44</v>
      </c>
      <c r="S704" s="62" t="s">
        <v>518</v>
      </c>
      <c r="T704" s="99" t="s">
        <v>100</v>
      </c>
      <c r="U704" s="63" t="s">
        <v>1407</v>
      </c>
      <c r="V704" s="79" t="s">
        <v>731</v>
      </c>
      <c r="W704" s="87" t="s">
        <v>437</v>
      </c>
      <c r="X704" s="87" t="s">
        <v>437</v>
      </c>
    </row>
    <row r="705" spans="1:25" hidden="1">
      <c r="A705" s="91" t="s">
        <v>1408</v>
      </c>
      <c r="B705" s="75"/>
      <c r="C705" s="75"/>
      <c r="D705" s="75"/>
      <c r="E705" s="75"/>
      <c r="F705" s="318"/>
      <c r="G705" s="407"/>
      <c r="H705" s="75"/>
      <c r="I705" s="412"/>
      <c r="J705" s="420"/>
      <c r="K705" s="75"/>
      <c r="L705" s="75"/>
      <c r="M705" s="75"/>
      <c r="N705" s="75"/>
      <c r="O705" s="102"/>
      <c r="P705" s="79"/>
      <c r="Q705" s="79"/>
      <c r="R705" s="79">
        <v>62</v>
      </c>
      <c r="S705" s="62" t="s">
        <v>518</v>
      </c>
      <c r="T705" s="99" t="s">
        <v>100</v>
      </c>
      <c r="U705" s="63" t="s">
        <v>1409</v>
      </c>
      <c r="V705" s="79" t="s">
        <v>731</v>
      </c>
      <c r="W705" s="87" t="s">
        <v>437</v>
      </c>
      <c r="X705" s="87" t="s">
        <v>437</v>
      </c>
    </row>
    <row r="706" spans="1:25" ht="25.5" hidden="1">
      <c r="A706" s="91" t="s">
        <v>1410</v>
      </c>
      <c r="B706" s="75"/>
      <c r="C706" s="75"/>
      <c r="D706" s="75"/>
      <c r="E706" s="75"/>
      <c r="F706" s="318"/>
      <c r="G706" s="407"/>
      <c r="H706" s="75"/>
      <c r="I706" s="412"/>
      <c r="J706" s="420"/>
      <c r="K706" s="75"/>
      <c r="L706" s="75"/>
      <c r="M706" s="75"/>
      <c r="N706" s="75"/>
      <c r="O706" s="102"/>
      <c r="P706" s="79"/>
      <c r="Q706" s="79"/>
      <c r="R706" s="79">
        <v>59</v>
      </c>
      <c r="S706" s="62" t="s">
        <v>518</v>
      </c>
      <c r="T706" s="99" t="s">
        <v>100</v>
      </c>
      <c r="U706" s="63" t="s">
        <v>1411</v>
      </c>
      <c r="V706" s="79" t="s">
        <v>731</v>
      </c>
      <c r="W706" s="87" t="s">
        <v>437</v>
      </c>
      <c r="X706" s="87" t="s">
        <v>437</v>
      </c>
    </row>
    <row r="707" spans="1:25" ht="25.5" hidden="1">
      <c r="A707" s="91" t="s">
        <v>1412</v>
      </c>
      <c r="B707" s="75"/>
      <c r="C707" s="75"/>
      <c r="D707" s="75"/>
      <c r="E707" s="75"/>
      <c r="F707" s="318"/>
      <c r="G707" s="407"/>
      <c r="H707" s="75"/>
      <c r="I707" s="412"/>
      <c r="J707" s="420"/>
      <c r="K707" s="75"/>
      <c r="L707" s="75"/>
      <c r="M707" s="75"/>
      <c r="N707" s="75"/>
      <c r="O707" s="102"/>
      <c r="P707" s="79"/>
      <c r="Q707" s="79"/>
      <c r="R707" s="79">
        <v>56</v>
      </c>
      <c r="S707" s="62" t="s">
        <v>518</v>
      </c>
      <c r="T707" s="99" t="s">
        <v>100</v>
      </c>
      <c r="U707" s="63" t="s">
        <v>1413</v>
      </c>
      <c r="V707" s="79" t="s">
        <v>731</v>
      </c>
      <c r="W707" s="87" t="s">
        <v>437</v>
      </c>
      <c r="X707" s="87" t="s">
        <v>437</v>
      </c>
    </row>
    <row r="708" spans="1:25" hidden="1">
      <c r="A708" s="91" t="s">
        <v>1414</v>
      </c>
      <c r="B708" s="75"/>
      <c r="C708" s="75"/>
      <c r="D708" s="75"/>
      <c r="E708" s="75"/>
      <c r="F708" s="318"/>
      <c r="G708" s="407"/>
      <c r="H708" s="75"/>
      <c r="I708" s="412"/>
      <c r="J708" s="420"/>
      <c r="K708" s="75"/>
      <c r="L708" s="75"/>
      <c r="M708" s="75"/>
      <c r="N708" s="75"/>
      <c r="O708" s="102"/>
      <c r="P708" s="79"/>
      <c r="Q708" s="79"/>
      <c r="R708" s="79">
        <v>57</v>
      </c>
      <c r="S708" s="62" t="s">
        <v>518</v>
      </c>
      <c r="T708" s="99" t="s">
        <v>100</v>
      </c>
      <c r="U708" s="63" t="s">
        <v>1415</v>
      </c>
      <c r="V708" s="79" t="s">
        <v>731</v>
      </c>
      <c r="W708" s="87" t="s">
        <v>437</v>
      </c>
      <c r="X708" s="87" t="s">
        <v>437</v>
      </c>
    </row>
    <row r="709" spans="1:25" hidden="1">
      <c r="A709" s="91" t="s">
        <v>1416</v>
      </c>
      <c r="B709" s="75"/>
      <c r="C709" s="75"/>
      <c r="D709" s="75"/>
      <c r="E709" s="75"/>
      <c r="F709" s="318"/>
      <c r="G709" s="407"/>
      <c r="H709" s="75"/>
      <c r="I709" s="412"/>
      <c r="J709" s="420"/>
      <c r="K709" s="75"/>
      <c r="L709" s="75"/>
      <c r="M709" s="75"/>
      <c r="N709" s="75"/>
      <c r="O709" s="102"/>
      <c r="P709" s="79"/>
      <c r="Q709" s="79"/>
      <c r="R709" s="79">
        <v>57</v>
      </c>
      <c r="S709" s="62" t="s">
        <v>518</v>
      </c>
      <c r="T709" s="99" t="s">
        <v>100</v>
      </c>
      <c r="U709" s="63" t="s">
        <v>1417</v>
      </c>
      <c r="V709" s="79" t="s">
        <v>731</v>
      </c>
      <c r="W709" s="87" t="s">
        <v>437</v>
      </c>
      <c r="X709" s="87" t="s">
        <v>437</v>
      </c>
    </row>
    <row r="710" spans="1:25" ht="25.5" hidden="1">
      <c r="A710" s="91" t="s">
        <v>1418</v>
      </c>
      <c r="B710" s="75"/>
      <c r="C710" s="75"/>
      <c r="D710" s="75"/>
      <c r="E710" s="75"/>
      <c r="F710" s="318"/>
      <c r="G710" s="407"/>
      <c r="H710" s="75"/>
      <c r="I710" s="412"/>
      <c r="J710" s="420"/>
      <c r="K710" s="75"/>
      <c r="L710" s="75"/>
      <c r="M710" s="75"/>
      <c r="N710" s="75"/>
      <c r="O710" s="102"/>
      <c r="P710" s="79"/>
      <c r="Q710" s="79"/>
      <c r="R710" s="79">
        <v>59</v>
      </c>
      <c r="S710" s="62" t="s">
        <v>1419</v>
      </c>
      <c r="T710" s="99" t="s">
        <v>100</v>
      </c>
      <c r="U710" s="63" t="s">
        <v>1420</v>
      </c>
      <c r="V710" s="79" t="s">
        <v>731</v>
      </c>
      <c r="W710" s="87" t="s">
        <v>437</v>
      </c>
      <c r="X710" s="87" t="s">
        <v>437</v>
      </c>
      <c r="Y710" s="62">
        <v>59</v>
      </c>
    </row>
    <row r="711" spans="1:25" ht="25.5" hidden="1">
      <c r="A711" s="91" t="s">
        <v>1421</v>
      </c>
      <c r="B711" s="75"/>
      <c r="C711" s="75"/>
      <c r="D711" s="75"/>
      <c r="E711" s="75"/>
      <c r="F711" s="318"/>
      <c r="G711" s="407"/>
      <c r="H711" s="75"/>
      <c r="I711" s="412"/>
      <c r="J711" s="420"/>
      <c r="K711" s="75"/>
      <c r="L711" s="75"/>
      <c r="M711" s="75"/>
      <c r="N711" s="75"/>
      <c r="O711" s="102"/>
      <c r="P711" s="79"/>
      <c r="Q711" s="79"/>
      <c r="R711" s="79">
        <v>58</v>
      </c>
      <c r="S711" s="62" t="s">
        <v>463</v>
      </c>
      <c r="T711" s="99" t="s">
        <v>100</v>
      </c>
      <c r="U711" s="63" t="s">
        <v>1422</v>
      </c>
      <c r="V711" s="79" t="s">
        <v>731</v>
      </c>
      <c r="W711" s="87" t="s">
        <v>437</v>
      </c>
      <c r="X711" s="87" t="s">
        <v>437</v>
      </c>
    </row>
    <row r="712" spans="1:25" ht="25.5" hidden="1">
      <c r="A712" s="91" t="s">
        <v>1423</v>
      </c>
      <c r="B712" s="75"/>
      <c r="C712" s="75"/>
      <c r="D712" s="75"/>
      <c r="E712" s="75"/>
      <c r="F712" s="318"/>
      <c r="G712" s="407"/>
      <c r="H712" s="75"/>
      <c r="I712" s="412"/>
      <c r="J712" s="420"/>
      <c r="K712" s="75"/>
      <c r="L712" s="75"/>
      <c r="M712" s="75"/>
      <c r="N712" s="75"/>
      <c r="O712" s="102"/>
      <c r="P712" s="79"/>
      <c r="Q712" s="79"/>
      <c r="R712" s="79">
        <v>49</v>
      </c>
      <c r="S712" s="62" t="s">
        <v>463</v>
      </c>
      <c r="T712" s="99" t="s">
        <v>100</v>
      </c>
      <c r="U712" s="63" t="s">
        <v>1424</v>
      </c>
      <c r="V712" s="79" t="s">
        <v>731</v>
      </c>
      <c r="W712" s="87" t="s">
        <v>437</v>
      </c>
      <c r="X712" s="87" t="s">
        <v>437</v>
      </c>
    </row>
    <row r="713" spans="1:25" ht="25.5" hidden="1">
      <c r="A713" s="91" t="s">
        <v>1425</v>
      </c>
      <c r="B713" s="75"/>
      <c r="C713" s="75"/>
      <c r="D713" s="75"/>
      <c r="E713" s="75"/>
      <c r="F713" s="318"/>
      <c r="G713" s="407"/>
      <c r="H713" s="75"/>
      <c r="I713" s="412"/>
      <c r="J713" s="420"/>
      <c r="K713" s="75"/>
      <c r="L713" s="75"/>
      <c r="M713" s="75"/>
      <c r="N713" s="75"/>
      <c r="O713" s="102"/>
      <c r="P713" s="79"/>
      <c r="Q713" s="79"/>
      <c r="R713" s="79">
        <v>60</v>
      </c>
      <c r="S713" s="62" t="s">
        <v>1426</v>
      </c>
      <c r="T713" s="99" t="s">
        <v>100</v>
      </c>
      <c r="U713" s="63" t="s">
        <v>1427</v>
      </c>
      <c r="V713" s="79" t="s">
        <v>731</v>
      </c>
      <c r="W713" s="87" t="s">
        <v>437</v>
      </c>
      <c r="X713" s="87" t="s">
        <v>437</v>
      </c>
    </row>
    <row r="714" spans="1:25" ht="25.5" hidden="1">
      <c r="A714" s="91" t="s">
        <v>1428</v>
      </c>
      <c r="B714" s="75"/>
      <c r="C714" s="75"/>
      <c r="D714" s="75"/>
      <c r="E714" s="75"/>
      <c r="F714" s="318"/>
      <c r="G714" s="407"/>
      <c r="H714" s="75"/>
      <c r="I714" s="412"/>
      <c r="J714" s="420"/>
      <c r="K714" s="75"/>
      <c r="L714" s="75"/>
      <c r="M714" s="75"/>
      <c r="N714" s="75"/>
      <c r="O714" s="102"/>
      <c r="P714" s="79"/>
      <c r="Q714" s="79"/>
      <c r="R714" s="79">
        <v>55</v>
      </c>
      <c r="S714" s="62" t="s">
        <v>534</v>
      </c>
      <c r="T714" s="99" t="s">
        <v>100</v>
      </c>
      <c r="U714" s="63" t="s">
        <v>1429</v>
      </c>
      <c r="V714" s="79" t="s">
        <v>731</v>
      </c>
      <c r="W714" s="87" t="s">
        <v>437</v>
      </c>
      <c r="X714" s="87" t="s">
        <v>437</v>
      </c>
    </row>
    <row r="715" spans="1:25" hidden="1">
      <c r="A715" s="91" t="s">
        <v>1430</v>
      </c>
      <c r="B715" s="75"/>
      <c r="C715" s="75"/>
      <c r="D715" s="75"/>
      <c r="E715" s="75"/>
      <c r="F715" s="318"/>
      <c r="G715" s="407"/>
      <c r="H715" s="75"/>
      <c r="I715" s="412"/>
      <c r="J715" s="420"/>
      <c r="K715" s="75"/>
      <c r="L715" s="75"/>
      <c r="M715" s="75"/>
      <c r="N715" s="75"/>
      <c r="O715" s="102"/>
      <c r="P715" s="79"/>
      <c r="Q715" s="79"/>
      <c r="R715" s="79">
        <v>62</v>
      </c>
      <c r="S715" s="62" t="s">
        <v>534</v>
      </c>
      <c r="T715" s="99" t="s">
        <v>100</v>
      </c>
      <c r="U715" s="63" t="s">
        <v>1431</v>
      </c>
      <c r="V715" s="79" t="s">
        <v>731</v>
      </c>
      <c r="W715" s="87" t="s">
        <v>437</v>
      </c>
      <c r="X715" s="87" t="s">
        <v>437</v>
      </c>
    </row>
    <row r="716" spans="1:25" hidden="1">
      <c r="A716" s="91" t="s">
        <v>1432</v>
      </c>
      <c r="B716" s="75"/>
      <c r="C716" s="75"/>
      <c r="D716" s="75"/>
      <c r="E716" s="75"/>
      <c r="F716" s="318"/>
      <c r="G716" s="407"/>
      <c r="H716" s="75"/>
      <c r="I716" s="412"/>
      <c r="J716" s="420"/>
      <c r="K716" s="75"/>
      <c r="L716" s="75"/>
      <c r="M716" s="75"/>
      <c r="N716" s="75"/>
      <c r="O716" s="102"/>
      <c r="P716" s="79"/>
      <c r="Q716" s="79"/>
      <c r="R716" s="79">
        <v>37</v>
      </c>
      <c r="S716" s="62" t="s">
        <v>534</v>
      </c>
      <c r="T716" s="99" t="s">
        <v>100</v>
      </c>
      <c r="U716" s="63" t="s">
        <v>1433</v>
      </c>
      <c r="V716" s="79" t="s">
        <v>731</v>
      </c>
      <c r="W716" s="87" t="s">
        <v>437</v>
      </c>
      <c r="X716" s="87" t="s">
        <v>437</v>
      </c>
    </row>
    <row r="717" spans="1:25" hidden="1">
      <c r="A717" s="91" t="s">
        <v>1432</v>
      </c>
      <c r="B717" s="75"/>
      <c r="C717" s="75"/>
      <c r="D717" s="75"/>
      <c r="E717" s="75"/>
      <c r="F717" s="318"/>
      <c r="G717" s="407"/>
      <c r="H717" s="75"/>
      <c r="I717" s="412"/>
      <c r="J717" s="420"/>
      <c r="K717" s="75"/>
      <c r="L717" s="75"/>
      <c r="M717" s="75"/>
      <c r="N717" s="75"/>
      <c r="O717" s="102"/>
      <c r="P717" s="79"/>
      <c r="Q717" s="79"/>
      <c r="R717" s="79">
        <v>40</v>
      </c>
      <c r="S717" s="62" t="s">
        <v>534</v>
      </c>
      <c r="T717" s="99" t="s">
        <v>100</v>
      </c>
      <c r="U717" s="63" t="s">
        <v>1434</v>
      </c>
      <c r="V717" s="79" t="s">
        <v>731</v>
      </c>
      <c r="W717" s="87" t="s">
        <v>437</v>
      </c>
      <c r="X717" s="87" t="s">
        <v>437</v>
      </c>
    </row>
    <row r="718" spans="1:25" ht="25.5" hidden="1">
      <c r="A718" s="91" t="s">
        <v>1435</v>
      </c>
      <c r="B718" s="75"/>
      <c r="C718" s="75"/>
      <c r="D718" s="75"/>
      <c r="E718" s="75"/>
      <c r="F718" s="318"/>
      <c r="G718" s="407"/>
      <c r="H718" s="75"/>
      <c r="I718" s="412"/>
      <c r="J718" s="420"/>
      <c r="K718" s="75"/>
      <c r="L718" s="75"/>
      <c r="M718" s="75"/>
      <c r="N718" s="75"/>
      <c r="O718" s="102"/>
      <c r="P718" s="79"/>
      <c r="Q718" s="79"/>
      <c r="R718" s="79">
        <v>45</v>
      </c>
      <c r="S718" s="62" t="s">
        <v>534</v>
      </c>
      <c r="T718" s="99" t="s">
        <v>100</v>
      </c>
      <c r="U718" s="63" t="s">
        <v>1436</v>
      </c>
      <c r="V718" s="79" t="s">
        <v>731</v>
      </c>
      <c r="W718" s="87" t="s">
        <v>437</v>
      </c>
      <c r="X718" s="87" t="s">
        <v>437</v>
      </c>
    </row>
    <row r="719" spans="1:25" hidden="1">
      <c r="A719" s="91" t="s">
        <v>1437</v>
      </c>
      <c r="B719" s="75"/>
      <c r="C719" s="75"/>
      <c r="D719" s="75"/>
      <c r="E719" s="75"/>
      <c r="F719" s="318"/>
      <c r="G719" s="407"/>
      <c r="H719" s="75"/>
      <c r="I719" s="412"/>
      <c r="J719" s="420"/>
      <c r="K719" s="75"/>
      <c r="L719" s="75"/>
      <c r="M719" s="75"/>
      <c r="N719" s="75"/>
      <c r="O719" s="102"/>
      <c r="P719" s="79"/>
      <c r="Q719" s="79"/>
      <c r="R719" s="79">
        <v>32</v>
      </c>
      <c r="S719" s="62" t="s">
        <v>534</v>
      </c>
      <c r="T719" s="99" t="s">
        <v>100</v>
      </c>
      <c r="U719" s="63" t="s">
        <v>1438</v>
      </c>
      <c r="V719" s="79" t="s">
        <v>731</v>
      </c>
      <c r="W719" s="87" t="s">
        <v>437</v>
      </c>
      <c r="X719" s="87" t="s">
        <v>437</v>
      </c>
    </row>
    <row r="720" spans="1:25" hidden="1">
      <c r="A720" s="91" t="s">
        <v>1437</v>
      </c>
      <c r="B720" s="75"/>
      <c r="C720" s="75"/>
      <c r="D720" s="75"/>
      <c r="E720" s="75"/>
      <c r="F720" s="318"/>
      <c r="G720" s="407"/>
      <c r="H720" s="75"/>
      <c r="I720" s="412"/>
      <c r="J720" s="420"/>
      <c r="K720" s="75"/>
      <c r="L720" s="75"/>
      <c r="M720" s="75"/>
      <c r="N720" s="75"/>
      <c r="O720" s="102"/>
      <c r="P720" s="79"/>
      <c r="Q720" s="79"/>
      <c r="R720" s="79">
        <v>41</v>
      </c>
      <c r="S720" s="62" t="s">
        <v>534</v>
      </c>
      <c r="T720" s="99" t="s">
        <v>100</v>
      </c>
      <c r="U720" s="63" t="s">
        <v>1439</v>
      </c>
      <c r="V720" s="79" t="s">
        <v>731</v>
      </c>
      <c r="W720" s="87" t="s">
        <v>437</v>
      </c>
      <c r="X720" s="87" t="s">
        <v>437</v>
      </c>
    </row>
    <row r="721" spans="1:24" hidden="1">
      <c r="A721" s="91" t="s">
        <v>1440</v>
      </c>
      <c r="B721" s="75"/>
      <c r="C721" s="75"/>
      <c r="D721" s="75"/>
      <c r="E721" s="75"/>
      <c r="F721" s="318"/>
      <c r="G721" s="407"/>
      <c r="H721" s="75"/>
      <c r="I721" s="412"/>
      <c r="J721" s="420"/>
      <c r="K721" s="75"/>
      <c r="L721" s="75"/>
      <c r="M721" s="75"/>
      <c r="N721" s="75"/>
      <c r="O721" s="102"/>
      <c r="P721" s="79"/>
      <c r="Q721" s="79"/>
      <c r="R721" s="79">
        <v>40</v>
      </c>
      <c r="S721" s="62" t="s">
        <v>534</v>
      </c>
      <c r="T721" s="99" t="s">
        <v>100</v>
      </c>
      <c r="U721" s="63" t="s">
        <v>1441</v>
      </c>
      <c r="V721" s="79" t="s">
        <v>731</v>
      </c>
      <c r="W721" s="87" t="s">
        <v>437</v>
      </c>
      <c r="X721" s="87" t="s">
        <v>437</v>
      </c>
    </row>
    <row r="722" spans="1:24" hidden="1">
      <c r="A722" s="91" t="s">
        <v>1440</v>
      </c>
      <c r="B722" s="75"/>
      <c r="C722" s="75"/>
      <c r="D722" s="75"/>
      <c r="E722" s="75"/>
      <c r="F722" s="318"/>
      <c r="G722" s="407"/>
      <c r="H722" s="75"/>
      <c r="I722" s="412"/>
      <c r="J722" s="420"/>
      <c r="K722" s="75"/>
      <c r="L722" s="75"/>
      <c r="M722" s="75"/>
      <c r="N722" s="75"/>
      <c r="O722" s="102"/>
      <c r="P722" s="79"/>
      <c r="Q722" s="79"/>
      <c r="R722" s="79">
        <v>45</v>
      </c>
      <c r="S722" s="62" t="s">
        <v>534</v>
      </c>
      <c r="T722" s="99" t="s">
        <v>100</v>
      </c>
      <c r="U722" s="63" t="s">
        <v>1442</v>
      </c>
      <c r="V722" s="79" t="s">
        <v>731</v>
      </c>
      <c r="W722" s="87" t="s">
        <v>437</v>
      </c>
      <c r="X722" s="87" t="s">
        <v>437</v>
      </c>
    </row>
    <row r="723" spans="1:24" ht="25.5" hidden="1">
      <c r="A723" s="91" t="s">
        <v>1443</v>
      </c>
      <c r="B723" s="75"/>
      <c r="C723" s="75"/>
      <c r="D723" s="75"/>
      <c r="E723" s="75"/>
      <c r="F723" s="318"/>
      <c r="G723" s="407"/>
      <c r="H723" s="75"/>
      <c r="I723" s="412"/>
      <c r="J723" s="420"/>
      <c r="K723" s="75"/>
      <c r="L723" s="75"/>
      <c r="M723" s="75"/>
      <c r="N723" s="75"/>
      <c r="O723" s="102"/>
      <c r="P723" s="79"/>
      <c r="Q723" s="79"/>
      <c r="R723" s="79">
        <v>35</v>
      </c>
      <c r="S723" s="62" t="s">
        <v>534</v>
      </c>
      <c r="T723" s="99" t="s">
        <v>100</v>
      </c>
      <c r="U723" s="63" t="s">
        <v>1444</v>
      </c>
      <c r="V723" s="79" t="s">
        <v>731</v>
      </c>
      <c r="W723" s="87" t="s">
        <v>437</v>
      </c>
      <c r="X723" s="87" t="s">
        <v>437</v>
      </c>
    </row>
    <row r="724" spans="1:24" hidden="1">
      <c r="A724" s="91" t="s">
        <v>1445</v>
      </c>
      <c r="B724" s="75"/>
      <c r="C724" s="75"/>
      <c r="D724" s="75"/>
      <c r="E724" s="75"/>
      <c r="F724" s="318"/>
      <c r="G724" s="407"/>
      <c r="H724" s="75"/>
      <c r="I724" s="412"/>
      <c r="J724" s="420"/>
      <c r="K724" s="75"/>
      <c r="L724" s="75"/>
      <c r="M724" s="75"/>
      <c r="N724" s="75"/>
      <c r="O724" s="102"/>
      <c r="P724" s="79"/>
      <c r="Q724" s="79"/>
      <c r="R724" s="79">
        <v>37</v>
      </c>
      <c r="S724" s="62" t="s">
        <v>534</v>
      </c>
      <c r="T724" s="99" t="s">
        <v>100</v>
      </c>
      <c r="U724" s="63" t="s">
        <v>1446</v>
      </c>
      <c r="V724" s="79" t="s">
        <v>731</v>
      </c>
      <c r="W724" s="87" t="s">
        <v>437</v>
      </c>
      <c r="X724" s="87" t="s">
        <v>437</v>
      </c>
    </row>
    <row r="725" spans="1:24" ht="25.5" hidden="1">
      <c r="A725" s="91" t="s">
        <v>1447</v>
      </c>
      <c r="B725" s="75"/>
      <c r="C725" s="75"/>
      <c r="D725" s="75"/>
      <c r="E725" s="75"/>
      <c r="F725" s="318"/>
      <c r="G725" s="407"/>
      <c r="H725" s="75"/>
      <c r="I725" s="412"/>
      <c r="J725" s="420"/>
      <c r="K725" s="75"/>
      <c r="L725" s="75"/>
      <c r="M725" s="75"/>
      <c r="N725" s="75"/>
      <c r="O725" s="102"/>
      <c r="P725" s="79"/>
      <c r="Q725" s="79"/>
      <c r="R725" s="79">
        <v>44</v>
      </c>
      <c r="S725" s="62" t="s">
        <v>534</v>
      </c>
      <c r="T725" s="99" t="s">
        <v>100</v>
      </c>
      <c r="U725" s="63" t="s">
        <v>1448</v>
      </c>
      <c r="V725" s="79" t="s">
        <v>731</v>
      </c>
      <c r="W725" s="87" t="s">
        <v>437</v>
      </c>
      <c r="X725" s="87" t="s">
        <v>437</v>
      </c>
    </row>
    <row r="726" spans="1:24" hidden="1">
      <c r="A726" s="91" t="s">
        <v>1449</v>
      </c>
      <c r="B726" s="75"/>
      <c r="C726" s="75"/>
      <c r="D726" s="75"/>
      <c r="E726" s="75"/>
      <c r="F726" s="318"/>
      <c r="G726" s="407"/>
      <c r="H726" s="75"/>
      <c r="I726" s="412"/>
      <c r="J726" s="420"/>
      <c r="K726" s="75"/>
      <c r="L726" s="75"/>
      <c r="M726" s="75"/>
      <c r="N726" s="75"/>
      <c r="O726" s="102"/>
      <c r="P726" s="79"/>
      <c r="Q726" s="79"/>
      <c r="R726" s="79">
        <v>35</v>
      </c>
      <c r="S726" s="62" t="s">
        <v>442</v>
      </c>
      <c r="T726" s="99" t="s">
        <v>100</v>
      </c>
      <c r="U726" s="63" t="s">
        <v>1450</v>
      </c>
      <c r="V726" s="79" t="s">
        <v>731</v>
      </c>
      <c r="W726" s="87" t="s">
        <v>437</v>
      </c>
      <c r="X726" s="87" t="s">
        <v>437</v>
      </c>
    </row>
    <row r="727" spans="1:24" ht="25.5" hidden="1">
      <c r="A727" s="91" t="s">
        <v>1451</v>
      </c>
      <c r="B727" s="75"/>
      <c r="C727" s="75"/>
      <c r="D727" s="75"/>
      <c r="E727" s="75"/>
      <c r="F727" s="318"/>
      <c r="G727" s="407"/>
      <c r="H727" s="75"/>
      <c r="I727" s="412"/>
      <c r="J727" s="420"/>
      <c r="K727" s="75"/>
      <c r="L727" s="75"/>
      <c r="M727" s="75"/>
      <c r="N727" s="75"/>
      <c r="O727" s="102"/>
      <c r="P727" s="79"/>
      <c r="Q727" s="79"/>
      <c r="R727" s="79">
        <v>41</v>
      </c>
      <c r="S727" s="62" t="s">
        <v>442</v>
      </c>
      <c r="T727" s="99" t="s">
        <v>100</v>
      </c>
      <c r="U727" s="63" t="s">
        <v>1452</v>
      </c>
      <c r="V727" s="79" t="s">
        <v>731</v>
      </c>
      <c r="W727" s="87" t="s">
        <v>437</v>
      </c>
      <c r="X727" s="87" t="s">
        <v>437</v>
      </c>
    </row>
    <row r="728" spans="1:24" hidden="1">
      <c r="A728" s="91" t="s">
        <v>1453</v>
      </c>
      <c r="B728" s="75"/>
      <c r="C728" s="75"/>
      <c r="D728" s="75"/>
      <c r="E728" s="75"/>
      <c r="F728" s="318"/>
      <c r="G728" s="407"/>
      <c r="H728" s="75"/>
      <c r="I728" s="412"/>
      <c r="J728" s="420"/>
      <c r="K728" s="75"/>
      <c r="L728" s="75"/>
      <c r="M728" s="75"/>
      <c r="N728" s="75"/>
      <c r="O728" s="102"/>
      <c r="P728" s="79"/>
      <c r="Q728" s="79"/>
      <c r="R728" s="79">
        <v>44</v>
      </c>
      <c r="S728" s="62" t="s">
        <v>442</v>
      </c>
      <c r="T728" s="99" t="s">
        <v>100</v>
      </c>
      <c r="U728" s="63" t="s">
        <v>1454</v>
      </c>
      <c r="V728" s="79" t="s">
        <v>731</v>
      </c>
      <c r="W728" s="87" t="s">
        <v>437</v>
      </c>
      <c r="X728" s="87" t="s">
        <v>437</v>
      </c>
    </row>
    <row r="729" spans="1:24" ht="25.5" hidden="1">
      <c r="A729" s="91" t="s">
        <v>1455</v>
      </c>
      <c r="B729" s="75"/>
      <c r="C729" s="75"/>
      <c r="D729" s="75"/>
      <c r="E729" s="75"/>
      <c r="F729" s="318"/>
      <c r="G729" s="407"/>
      <c r="H729" s="75"/>
      <c r="I729" s="412"/>
      <c r="J729" s="420"/>
      <c r="K729" s="75"/>
      <c r="L729" s="75"/>
      <c r="M729" s="75"/>
      <c r="N729" s="75"/>
      <c r="O729" s="102"/>
      <c r="P729" s="79"/>
      <c r="Q729" s="79"/>
      <c r="R729" s="79">
        <v>40</v>
      </c>
      <c r="S729" s="62" t="s">
        <v>1456</v>
      </c>
      <c r="T729" s="99" t="s">
        <v>100</v>
      </c>
      <c r="U729" s="63" t="s">
        <v>1457</v>
      </c>
      <c r="V729" s="79" t="s">
        <v>731</v>
      </c>
      <c r="W729" s="87" t="s">
        <v>437</v>
      </c>
      <c r="X729" s="87" t="s">
        <v>437</v>
      </c>
    </row>
    <row r="730" spans="1:24" ht="25.5" hidden="1">
      <c r="A730" s="91" t="s">
        <v>1458</v>
      </c>
      <c r="B730" s="75"/>
      <c r="C730" s="75"/>
      <c r="D730" s="75"/>
      <c r="E730" s="75"/>
      <c r="F730" s="318"/>
      <c r="G730" s="407"/>
      <c r="H730" s="75"/>
      <c r="I730" s="412"/>
      <c r="J730" s="420"/>
      <c r="K730" s="75"/>
      <c r="L730" s="75"/>
      <c r="M730" s="75"/>
      <c r="N730" s="75"/>
      <c r="O730" s="102"/>
      <c r="P730" s="79"/>
      <c r="Q730" s="79"/>
      <c r="R730" s="79">
        <v>37</v>
      </c>
      <c r="S730" s="62" t="s">
        <v>542</v>
      </c>
      <c r="T730" s="99" t="s">
        <v>100</v>
      </c>
      <c r="U730" s="63" t="s">
        <v>1459</v>
      </c>
      <c r="V730" s="79" t="s">
        <v>731</v>
      </c>
      <c r="W730" s="87" t="s">
        <v>437</v>
      </c>
      <c r="X730" s="87" t="s">
        <v>437</v>
      </c>
    </row>
    <row r="731" spans="1:24" hidden="1">
      <c r="A731" s="91" t="s">
        <v>1460</v>
      </c>
      <c r="B731" s="75"/>
      <c r="C731" s="75"/>
      <c r="D731" s="75"/>
      <c r="E731" s="75"/>
      <c r="F731" s="318"/>
      <c r="G731" s="407"/>
      <c r="H731" s="75"/>
      <c r="I731" s="412"/>
      <c r="J731" s="420"/>
      <c r="K731" s="75"/>
      <c r="L731" s="75"/>
      <c r="M731" s="75"/>
      <c r="N731" s="75"/>
      <c r="O731" s="102"/>
      <c r="P731" s="79"/>
      <c r="Q731" s="79"/>
      <c r="R731" s="79">
        <v>42</v>
      </c>
      <c r="S731" s="62" t="s">
        <v>542</v>
      </c>
      <c r="T731" s="99" t="s">
        <v>100</v>
      </c>
      <c r="U731" s="63" t="s">
        <v>1461</v>
      </c>
      <c r="V731" s="79" t="s">
        <v>731</v>
      </c>
      <c r="W731" s="87" t="s">
        <v>437</v>
      </c>
      <c r="X731" s="87" t="s">
        <v>437</v>
      </c>
    </row>
    <row r="732" spans="1:24" ht="25.5" hidden="1">
      <c r="A732" s="91" t="s">
        <v>1462</v>
      </c>
      <c r="B732" s="75"/>
      <c r="C732" s="75"/>
      <c r="D732" s="75"/>
      <c r="E732" s="75"/>
      <c r="F732" s="318"/>
      <c r="G732" s="407"/>
      <c r="H732" s="75"/>
      <c r="I732" s="412"/>
      <c r="J732" s="420"/>
      <c r="K732" s="75"/>
      <c r="L732" s="75"/>
      <c r="M732" s="75"/>
      <c r="N732" s="75"/>
      <c r="O732" s="102"/>
      <c r="P732" s="79"/>
      <c r="Q732" s="79"/>
      <c r="R732" s="79">
        <v>36</v>
      </c>
      <c r="S732" s="62" t="s">
        <v>542</v>
      </c>
      <c r="T732" s="99" t="s">
        <v>100</v>
      </c>
      <c r="U732" s="63" t="s">
        <v>1463</v>
      </c>
      <c r="V732" s="79" t="s">
        <v>731</v>
      </c>
      <c r="W732" s="87" t="s">
        <v>437</v>
      </c>
      <c r="X732" s="87" t="s">
        <v>437</v>
      </c>
    </row>
    <row r="733" spans="1:24" hidden="1">
      <c r="A733" s="91" t="s">
        <v>1464</v>
      </c>
      <c r="B733" s="75"/>
      <c r="C733" s="75"/>
      <c r="D733" s="75"/>
      <c r="E733" s="75"/>
      <c r="F733" s="318"/>
      <c r="G733" s="407"/>
      <c r="H733" s="75"/>
      <c r="I733" s="412"/>
      <c r="J733" s="420"/>
      <c r="K733" s="75"/>
      <c r="L733" s="75"/>
      <c r="M733" s="75"/>
      <c r="N733" s="75"/>
      <c r="O733" s="102"/>
      <c r="P733" s="79"/>
      <c r="Q733" s="79"/>
      <c r="R733" s="79">
        <v>37</v>
      </c>
      <c r="S733" s="62" t="s">
        <v>542</v>
      </c>
      <c r="T733" s="99" t="s">
        <v>100</v>
      </c>
      <c r="U733" s="63" t="s">
        <v>1465</v>
      </c>
      <c r="V733" s="79" t="s">
        <v>731</v>
      </c>
      <c r="W733" s="87" t="s">
        <v>437</v>
      </c>
      <c r="X733" s="87" t="s">
        <v>437</v>
      </c>
    </row>
    <row r="734" spans="1:24" ht="25.5" hidden="1">
      <c r="A734" s="91" t="s">
        <v>1466</v>
      </c>
      <c r="B734" s="75"/>
      <c r="C734" s="75"/>
      <c r="D734" s="75"/>
      <c r="E734" s="75"/>
      <c r="F734" s="318"/>
      <c r="G734" s="407"/>
      <c r="H734" s="75"/>
      <c r="I734" s="412"/>
      <c r="J734" s="420"/>
      <c r="K734" s="75"/>
      <c r="L734" s="75"/>
      <c r="M734" s="75"/>
      <c r="N734" s="75"/>
      <c r="O734" s="102"/>
      <c r="P734" s="79"/>
      <c r="Q734" s="79"/>
      <c r="R734" s="79">
        <v>39</v>
      </c>
      <c r="S734" s="62" t="s">
        <v>542</v>
      </c>
      <c r="T734" s="99" t="s">
        <v>100</v>
      </c>
      <c r="U734" s="63" t="s">
        <v>1467</v>
      </c>
      <c r="V734" s="79" t="s">
        <v>731</v>
      </c>
      <c r="W734" s="87" t="s">
        <v>437</v>
      </c>
      <c r="X734" s="87" t="s">
        <v>437</v>
      </c>
    </row>
    <row r="735" spans="1:24" hidden="1">
      <c r="A735" s="91" t="s">
        <v>1468</v>
      </c>
      <c r="B735" s="75"/>
      <c r="C735" s="75"/>
      <c r="D735" s="75"/>
      <c r="E735" s="75"/>
      <c r="F735" s="318"/>
      <c r="G735" s="407"/>
      <c r="H735" s="75"/>
      <c r="I735" s="412"/>
      <c r="J735" s="420"/>
      <c r="K735" s="75"/>
      <c r="L735" s="75"/>
      <c r="M735" s="75"/>
      <c r="N735" s="75"/>
      <c r="O735" s="102"/>
      <c r="P735" s="79"/>
      <c r="Q735" s="79"/>
      <c r="R735" s="79">
        <v>40</v>
      </c>
      <c r="S735" s="62" t="s">
        <v>542</v>
      </c>
      <c r="T735" s="99" t="s">
        <v>100</v>
      </c>
      <c r="U735" s="63" t="s">
        <v>1469</v>
      </c>
      <c r="V735" s="79" t="s">
        <v>731</v>
      </c>
      <c r="W735" s="87" t="s">
        <v>437</v>
      </c>
      <c r="X735" s="87" t="s">
        <v>437</v>
      </c>
    </row>
    <row r="736" spans="1:24" ht="25.5" hidden="1">
      <c r="A736" s="91" t="s">
        <v>1470</v>
      </c>
      <c r="B736" s="75"/>
      <c r="C736" s="75"/>
      <c r="D736" s="75"/>
      <c r="E736" s="75"/>
      <c r="F736" s="318"/>
      <c r="G736" s="407"/>
      <c r="H736" s="75"/>
      <c r="I736" s="412"/>
      <c r="J736" s="420"/>
      <c r="K736" s="75"/>
      <c r="L736" s="75"/>
      <c r="M736" s="75"/>
      <c r="N736" s="75"/>
      <c r="O736" s="102"/>
      <c r="P736" s="79"/>
      <c r="Q736" s="79"/>
      <c r="R736" s="79">
        <v>44</v>
      </c>
      <c r="S736" s="62" t="s">
        <v>542</v>
      </c>
      <c r="T736" s="99" t="s">
        <v>100</v>
      </c>
      <c r="U736" s="63" t="s">
        <v>1471</v>
      </c>
      <c r="V736" s="79" t="s">
        <v>731</v>
      </c>
      <c r="W736" s="87" t="s">
        <v>437</v>
      </c>
      <c r="X736" s="87" t="s">
        <v>437</v>
      </c>
    </row>
    <row r="737" spans="1:24" hidden="1">
      <c r="A737" s="91" t="s">
        <v>1472</v>
      </c>
      <c r="B737" s="75"/>
      <c r="C737" s="75"/>
      <c r="D737" s="75"/>
      <c r="E737" s="75"/>
      <c r="F737" s="318"/>
      <c r="G737" s="407"/>
      <c r="H737" s="75"/>
      <c r="I737" s="412"/>
      <c r="J737" s="420"/>
      <c r="K737" s="75"/>
      <c r="L737" s="75"/>
      <c r="M737" s="75"/>
      <c r="N737" s="75"/>
      <c r="O737" s="102"/>
      <c r="P737" s="79"/>
      <c r="Q737" s="79"/>
      <c r="R737" s="79">
        <v>38</v>
      </c>
      <c r="S737" s="62" t="s">
        <v>542</v>
      </c>
      <c r="T737" s="99" t="s">
        <v>100</v>
      </c>
      <c r="U737" s="63" t="s">
        <v>1473</v>
      </c>
      <c r="V737" s="79" t="s">
        <v>731</v>
      </c>
      <c r="W737" s="87" t="s">
        <v>437</v>
      </c>
      <c r="X737" s="87" t="s">
        <v>437</v>
      </c>
    </row>
    <row r="738" spans="1:24" ht="25.5" hidden="1">
      <c r="A738" s="91" t="s">
        <v>1474</v>
      </c>
      <c r="B738" s="75"/>
      <c r="C738" s="75"/>
      <c r="D738" s="75"/>
      <c r="E738" s="75"/>
      <c r="F738" s="318"/>
      <c r="G738" s="407"/>
      <c r="H738" s="75"/>
      <c r="I738" s="412"/>
      <c r="J738" s="420"/>
      <c r="K738" s="75"/>
      <c r="L738" s="75"/>
      <c r="M738" s="75"/>
      <c r="N738" s="75"/>
      <c r="O738" s="102"/>
      <c r="P738" s="79"/>
      <c r="Q738" s="79"/>
      <c r="R738" s="79">
        <v>44</v>
      </c>
      <c r="S738" s="62" t="s">
        <v>542</v>
      </c>
      <c r="T738" s="99" t="s">
        <v>100</v>
      </c>
      <c r="U738" s="63" t="s">
        <v>1475</v>
      </c>
      <c r="V738" s="79" t="s">
        <v>731</v>
      </c>
      <c r="W738" s="87" t="s">
        <v>437</v>
      </c>
      <c r="X738" s="87" t="s">
        <v>437</v>
      </c>
    </row>
    <row r="739" spans="1:24" ht="25.5" hidden="1">
      <c r="A739" s="91" t="s">
        <v>1476</v>
      </c>
      <c r="B739" s="75"/>
      <c r="C739" s="75"/>
      <c r="D739" s="75"/>
      <c r="E739" s="75"/>
      <c r="F739" s="318"/>
      <c r="G739" s="407"/>
      <c r="H739" s="75"/>
      <c r="I739" s="412"/>
      <c r="J739" s="420"/>
      <c r="K739" s="75"/>
      <c r="L739" s="75"/>
      <c r="M739" s="75"/>
      <c r="N739" s="75"/>
      <c r="O739" s="102"/>
      <c r="P739" s="79"/>
      <c r="Q739" s="79"/>
      <c r="R739" s="79">
        <v>40</v>
      </c>
      <c r="S739" s="62" t="s">
        <v>1477</v>
      </c>
      <c r="T739" s="99" t="s">
        <v>100</v>
      </c>
      <c r="U739" s="63" t="s">
        <v>1478</v>
      </c>
      <c r="V739" s="79" t="s">
        <v>731</v>
      </c>
      <c r="W739" s="87" t="s">
        <v>437</v>
      </c>
      <c r="X739" s="87" t="s">
        <v>437</v>
      </c>
    </row>
    <row r="740" spans="1:24" ht="25.5" hidden="1">
      <c r="A740" s="74" t="s">
        <v>1479</v>
      </c>
      <c r="B740" s="75"/>
      <c r="C740" s="75"/>
      <c r="D740" s="75"/>
      <c r="E740" s="75"/>
      <c r="F740" s="318"/>
      <c r="G740" s="407"/>
      <c r="H740" s="75"/>
      <c r="I740" s="412"/>
      <c r="J740" s="420"/>
      <c r="K740" s="75"/>
      <c r="L740" s="75"/>
      <c r="M740" s="75"/>
      <c r="N740" s="75"/>
      <c r="O740" s="102"/>
      <c r="P740" s="79"/>
      <c r="Q740" s="79"/>
      <c r="R740" s="79">
        <v>40</v>
      </c>
      <c r="S740" s="62" t="s">
        <v>1480</v>
      </c>
      <c r="T740" s="99" t="s">
        <v>113</v>
      </c>
      <c r="U740" s="63" t="s">
        <v>1481</v>
      </c>
      <c r="V740" s="79" t="s">
        <v>731</v>
      </c>
      <c r="W740" s="87" t="s">
        <v>437</v>
      </c>
      <c r="X740" s="87" t="s">
        <v>437</v>
      </c>
    </row>
    <row r="741" spans="1:24" hidden="1">
      <c r="A741" s="74" t="s">
        <v>1482</v>
      </c>
      <c r="B741" s="75"/>
      <c r="C741" s="75"/>
      <c r="D741" s="75"/>
      <c r="E741" s="75"/>
      <c r="F741" s="318"/>
      <c r="G741" s="407"/>
      <c r="H741" s="75"/>
      <c r="I741" s="412"/>
      <c r="J741" s="420"/>
      <c r="K741" s="75"/>
      <c r="L741" s="75"/>
      <c r="M741" s="75"/>
      <c r="N741" s="75"/>
      <c r="O741" s="102"/>
      <c r="P741" s="79"/>
      <c r="Q741" s="79"/>
      <c r="R741" s="79">
        <v>36</v>
      </c>
      <c r="S741" s="62" t="s">
        <v>434</v>
      </c>
      <c r="T741" s="99" t="s">
        <v>113</v>
      </c>
      <c r="U741" s="63" t="s">
        <v>1483</v>
      </c>
      <c r="V741" s="79" t="s">
        <v>731</v>
      </c>
      <c r="W741" s="87" t="s">
        <v>437</v>
      </c>
      <c r="X741" s="87" t="s">
        <v>437</v>
      </c>
    </row>
    <row r="742" spans="1:24" ht="25.5" hidden="1">
      <c r="A742" s="74" t="s">
        <v>1484</v>
      </c>
      <c r="B742" s="75"/>
      <c r="C742" s="75"/>
      <c r="D742" s="75"/>
      <c r="E742" s="75"/>
      <c r="F742" s="318"/>
      <c r="G742" s="407"/>
      <c r="H742" s="75"/>
      <c r="I742" s="412"/>
      <c r="J742" s="420"/>
      <c r="K742" s="75"/>
      <c r="L742" s="75"/>
      <c r="M742" s="75"/>
      <c r="N742" s="75"/>
      <c r="O742" s="102"/>
      <c r="P742" s="79"/>
      <c r="Q742" s="79"/>
      <c r="R742" s="79">
        <v>42</v>
      </c>
      <c r="S742" s="62" t="s">
        <v>434</v>
      </c>
      <c r="T742" s="99" t="s">
        <v>113</v>
      </c>
      <c r="U742" s="63" t="s">
        <v>1485</v>
      </c>
      <c r="V742" s="79" t="s">
        <v>731</v>
      </c>
      <c r="W742" s="87" t="s">
        <v>437</v>
      </c>
      <c r="X742" s="87" t="s">
        <v>437</v>
      </c>
    </row>
    <row r="743" spans="1:24" hidden="1">
      <c r="A743" s="74" t="s">
        <v>1486</v>
      </c>
      <c r="B743" s="75"/>
      <c r="C743" s="75"/>
      <c r="D743" s="75"/>
      <c r="E743" s="75"/>
      <c r="F743" s="318"/>
      <c r="G743" s="407"/>
      <c r="H743" s="75"/>
      <c r="I743" s="412"/>
      <c r="J743" s="420"/>
      <c r="K743" s="75"/>
      <c r="L743" s="75"/>
      <c r="M743" s="75"/>
      <c r="N743" s="75"/>
      <c r="O743" s="102"/>
      <c r="P743" s="79"/>
      <c r="Q743" s="79"/>
      <c r="R743" s="79">
        <v>35</v>
      </c>
      <c r="S743" s="62" t="s">
        <v>434</v>
      </c>
      <c r="T743" s="99" t="s">
        <v>113</v>
      </c>
      <c r="U743" s="63" t="s">
        <v>1487</v>
      </c>
      <c r="V743" s="79" t="s">
        <v>731</v>
      </c>
      <c r="W743" s="87" t="s">
        <v>437</v>
      </c>
      <c r="X743" s="87" t="s">
        <v>437</v>
      </c>
    </row>
    <row r="744" spans="1:24" hidden="1">
      <c r="A744" s="74" t="s">
        <v>1486</v>
      </c>
      <c r="B744" s="75"/>
      <c r="C744" s="75"/>
      <c r="D744" s="75"/>
      <c r="E744" s="75"/>
      <c r="F744" s="318"/>
      <c r="G744" s="407"/>
      <c r="H744" s="75"/>
      <c r="I744" s="412"/>
      <c r="J744" s="420"/>
      <c r="K744" s="75"/>
      <c r="L744" s="75"/>
      <c r="M744" s="75"/>
      <c r="N744" s="75"/>
      <c r="O744" s="102"/>
      <c r="P744" s="79"/>
      <c r="Q744" s="79"/>
      <c r="R744" s="79">
        <v>39</v>
      </c>
      <c r="S744" s="62" t="s">
        <v>434</v>
      </c>
      <c r="T744" s="99" t="s">
        <v>113</v>
      </c>
      <c r="U744" s="63" t="s">
        <v>1488</v>
      </c>
      <c r="V744" s="79" t="s">
        <v>731</v>
      </c>
      <c r="W744" s="87" t="s">
        <v>437</v>
      </c>
      <c r="X744" s="87" t="s">
        <v>437</v>
      </c>
    </row>
    <row r="745" spans="1:24" ht="25.5" hidden="1">
      <c r="A745" s="74" t="s">
        <v>1489</v>
      </c>
      <c r="B745" s="75"/>
      <c r="C745" s="75"/>
      <c r="D745" s="75"/>
      <c r="E745" s="75"/>
      <c r="F745" s="318"/>
      <c r="G745" s="407"/>
      <c r="H745" s="75"/>
      <c r="I745" s="412"/>
      <c r="J745" s="420"/>
      <c r="K745" s="75"/>
      <c r="L745" s="75"/>
      <c r="M745" s="75"/>
      <c r="N745" s="75"/>
      <c r="O745" s="102"/>
      <c r="P745" s="79"/>
      <c r="Q745" s="79"/>
      <c r="R745" s="79">
        <v>36</v>
      </c>
      <c r="S745" s="62" t="s">
        <v>434</v>
      </c>
      <c r="T745" s="99" t="s">
        <v>113</v>
      </c>
      <c r="U745" s="63" t="s">
        <v>1490</v>
      </c>
      <c r="V745" s="79" t="s">
        <v>731</v>
      </c>
      <c r="W745" s="87" t="s">
        <v>437</v>
      </c>
      <c r="X745" s="87" t="s">
        <v>437</v>
      </c>
    </row>
    <row r="746" spans="1:24" hidden="1">
      <c r="A746" s="74" t="s">
        <v>1489</v>
      </c>
      <c r="B746" s="75"/>
      <c r="C746" s="75"/>
      <c r="D746" s="75"/>
      <c r="E746" s="75"/>
      <c r="F746" s="318"/>
      <c r="G746" s="407"/>
      <c r="H746" s="75"/>
      <c r="I746" s="412"/>
      <c r="J746" s="420"/>
      <c r="K746" s="75"/>
      <c r="L746" s="75"/>
      <c r="M746" s="75"/>
      <c r="N746" s="75"/>
      <c r="O746" s="102"/>
      <c r="P746" s="79"/>
      <c r="Q746" s="79"/>
      <c r="R746" s="79">
        <v>43</v>
      </c>
      <c r="S746" s="62" t="s">
        <v>434</v>
      </c>
      <c r="T746" s="99" t="s">
        <v>113</v>
      </c>
      <c r="U746" s="63" t="s">
        <v>1491</v>
      </c>
      <c r="V746" s="79" t="s">
        <v>731</v>
      </c>
      <c r="W746" s="87" t="s">
        <v>437</v>
      </c>
      <c r="X746" s="87" t="s">
        <v>437</v>
      </c>
    </row>
    <row r="747" spans="1:24" ht="25.5" hidden="1">
      <c r="A747" s="74" t="s">
        <v>1492</v>
      </c>
      <c r="B747" s="75"/>
      <c r="C747" s="75"/>
      <c r="D747" s="75"/>
      <c r="E747" s="75"/>
      <c r="F747" s="318"/>
      <c r="G747" s="407"/>
      <c r="H747" s="75"/>
      <c r="I747" s="412"/>
      <c r="J747" s="420"/>
      <c r="K747" s="75"/>
      <c r="L747" s="75"/>
      <c r="M747" s="75"/>
      <c r="N747" s="75"/>
      <c r="O747" s="102"/>
      <c r="P747" s="79"/>
      <c r="Q747" s="79"/>
      <c r="R747" s="79">
        <v>38</v>
      </c>
      <c r="S747" s="62" t="s">
        <v>434</v>
      </c>
      <c r="T747" s="99" t="s">
        <v>113</v>
      </c>
      <c r="U747" s="63" t="s">
        <v>1493</v>
      </c>
      <c r="V747" s="79" t="s">
        <v>731</v>
      </c>
      <c r="W747" s="87" t="s">
        <v>437</v>
      </c>
      <c r="X747" s="87" t="s">
        <v>437</v>
      </c>
    </row>
    <row r="748" spans="1:24" hidden="1">
      <c r="A748" s="74" t="s">
        <v>1494</v>
      </c>
      <c r="B748" s="75"/>
      <c r="C748" s="75"/>
      <c r="D748" s="75"/>
      <c r="E748" s="75"/>
      <c r="F748" s="318"/>
      <c r="G748" s="407"/>
      <c r="H748" s="75"/>
      <c r="I748" s="412"/>
      <c r="J748" s="420"/>
      <c r="K748" s="75"/>
      <c r="L748" s="75"/>
      <c r="M748" s="75"/>
      <c r="N748" s="75"/>
      <c r="O748" s="102"/>
      <c r="P748" s="79"/>
      <c r="Q748" s="79"/>
      <c r="R748" s="79">
        <v>37</v>
      </c>
      <c r="S748" s="62" t="s">
        <v>434</v>
      </c>
      <c r="T748" s="99" t="s">
        <v>113</v>
      </c>
      <c r="U748" s="63" t="s">
        <v>1495</v>
      </c>
      <c r="V748" s="79" t="s">
        <v>731</v>
      </c>
      <c r="W748" s="87" t="s">
        <v>437</v>
      </c>
      <c r="X748" s="87" t="s">
        <v>437</v>
      </c>
    </row>
    <row r="749" spans="1:24" ht="25.5" hidden="1">
      <c r="A749" s="74" t="s">
        <v>1496</v>
      </c>
      <c r="B749" s="75"/>
      <c r="C749" s="75"/>
      <c r="D749" s="75"/>
      <c r="E749" s="75"/>
      <c r="F749" s="318"/>
      <c r="G749" s="407"/>
      <c r="H749" s="75"/>
      <c r="I749" s="412"/>
      <c r="J749" s="420"/>
      <c r="K749" s="75"/>
      <c r="L749" s="75"/>
      <c r="M749" s="75"/>
      <c r="N749" s="75"/>
      <c r="O749" s="102"/>
      <c r="P749" s="79"/>
      <c r="Q749" s="79"/>
      <c r="R749" s="79">
        <v>42</v>
      </c>
      <c r="S749" s="62" t="s">
        <v>434</v>
      </c>
      <c r="T749" s="99" t="s">
        <v>113</v>
      </c>
      <c r="U749" s="63" t="s">
        <v>1497</v>
      </c>
      <c r="V749" s="79" t="s">
        <v>731</v>
      </c>
      <c r="W749" s="87" t="s">
        <v>437</v>
      </c>
      <c r="X749" s="87" t="s">
        <v>437</v>
      </c>
    </row>
    <row r="750" spans="1:24" ht="25.5" hidden="1">
      <c r="A750" s="74" t="s">
        <v>1498</v>
      </c>
      <c r="B750" s="75"/>
      <c r="C750" s="75"/>
      <c r="D750" s="75"/>
      <c r="E750" s="75"/>
      <c r="F750" s="318"/>
      <c r="G750" s="407"/>
      <c r="H750" s="75"/>
      <c r="I750" s="412"/>
      <c r="J750" s="420"/>
      <c r="K750" s="75"/>
      <c r="L750" s="75"/>
      <c r="M750" s="75"/>
      <c r="N750" s="75"/>
      <c r="O750" s="102"/>
      <c r="P750" s="79"/>
      <c r="Q750" s="79"/>
      <c r="R750" s="79">
        <v>42</v>
      </c>
      <c r="S750" s="62" t="s">
        <v>1499</v>
      </c>
      <c r="T750" s="99" t="s">
        <v>113</v>
      </c>
      <c r="U750" s="63" t="s">
        <v>1500</v>
      </c>
      <c r="V750" s="79" t="s">
        <v>731</v>
      </c>
      <c r="W750" s="87" t="s">
        <v>437</v>
      </c>
      <c r="X750" s="87" t="s">
        <v>437</v>
      </c>
    </row>
    <row r="751" spans="1:24" hidden="1">
      <c r="A751" s="74" t="s">
        <v>1501</v>
      </c>
      <c r="B751" s="75"/>
      <c r="C751" s="75"/>
      <c r="D751" s="75"/>
      <c r="E751" s="75"/>
      <c r="F751" s="318"/>
      <c r="G751" s="407"/>
      <c r="H751" s="75"/>
      <c r="I751" s="412"/>
      <c r="J751" s="420"/>
      <c r="K751" s="75"/>
      <c r="L751" s="75"/>
      <c r="M751" s="75"/>
      <c r="N751" s="75"/>
      <c r="O751" s="102"/>
      <c r="P751" s="79"/>
      <c r="Q751" s="79"/>
      <c r="R751" s="79">
        <v>38</v>
      </c>
      <c r="S751" s="62" t="s">
        <v>442</v>
      </c>
      <c r="T751" s="99" t="s">
        <v>113</v>
      </c>
      <c r="U751" s="63" t="s">
        <v>1502</v>
      </c>
      <c r="V751" s="79" t="s">
        <v>731</v>
      </c>
      <c r="W751" s="87" t="s">
        <v>437</v>
      </c>
      <c r="X751" s="87" t="s">
        <v>437</v>
      </c>
    </row>
    <row r="752" spans="1:24" ht="25.5" hidden="1">
      <c r="A752" s="74" t="s">
        <v>1503</v>
      </c>
      <c r="B752" s="75"/>
      <c r="C752" s="75"/>
      <c r="D752" s="75"/>
      <c r="E752" s="75"/>
      <c r="F752" s="318"/>
      <c r="G752" s="407"/>
      <c r="H752" s="75"/>
      <c r="I752" s="412"/>
      <c r="J752" s="420"/>
      <c r="K752" s="75"/>
      <c r="L752" s="75"/>
      <c r="M752" s="75"/>
      <c r="N752" s="75"/>
      <c r="O752" s="102"/>
      <c r="P752" s="79"/>
      <c r="Q752" s="79"/>
      <c r="R752" s="79">
        <v>38</v>
      </c>
      <c r="S752" s="62" t="s">
        <v>1504</v>
      </c>
      <c r="T752" s="99" t="s">
        <v>113</v>
      </c>
      <c r="U752" s="63" t="s">
        <v>1505</v>
      </c>
      <c r="V752" s="79" t="s">
        <v>731</v>
      </c>
      <c r="W752" s="87" t="s">
        <v>437</v>
      </c>
      <c r="X752" s="87" t="s">
        <v>437</v>
      </c>
    </row>
    <row r="753" spans="1:24" ht="25.5" hidden="1">
      <c r="A753" s="74" t="s">
        <v>1506</v>
      </c>
      <c r="B753" s="75"/>
      <c r="C753" s="75"/>
      <c r="D753" s="75"/>
      <c r="E753" s="75"/>
      <c r="F753" s="318"/>
      <c r="G753" s="407"/>
      <c r="H753" s="75"/>
      <c r="I753" s="412"/>
      <c r="J753" s="420"/>
      <c r="K753" s="75"/>
      <c r="L753" s="75"/>
      <c r="M753" s="75"/>
      <c r="N753" s="75"/>
      <c r="O753" s="102"/>
      <c r="P753" s="79"/>
      <c r="Q753" s="79"/>
      <c r="R753" s="79">
        <v>40</v>
      </c>
      <c r="S753" s="62" t="s">
        <v>1507</v>
      </c>
      <c r="T753" s="99" t="s">
        <v>113</v>
      </c>
      <c r="U753" s="63" t="s">
        <v>1508</v>
      </c>
      <c r="V753" s="79" t="s">
        <v>731</v>
      </c>
      <c r="W753" s="87" t="s">
        <v>437</v>
      </c>
      <c r="X753" s="87" t="s">
        <v>437</v>
      </c>
    </row>
    <row r="754" spans="1:24" hidden="1">
      <c r="A754" s="74" t="s">
        <v>1509</v>
      </c>
      <c r="B754" s="75"/>
      <c r="C754" s="75"/>
      <c r="D754" s="75"/>
      <c r="E754" s="75"/>
      <c r="F754" s="318"/>
      <c r="G754" s="407"/>
      <c r="H754" s="75"/>
      <c r="I754" s="412"/>
      <c r="J754" s="420"/>
      <c r="K754" s="75"/>
      <c r="L754" s="75"/>
      <c r="M754" s="75"/>
      <c r="N754" s="75"/>
      <c r="O754" s="102"/>
      <c r="P754" s="79"/>
      <c r="Q754" s="79"/>
      <c r="R754" s="79">
        <v>40</v>
      </c>
      <c r="S754" s="62" t="s">
        <v>1507</v>
      </c>
      <c r="T754" s="99" t="s">
        <v>113</v>
      </c>
      <c r="U754" s="63" t="s">
        <v>1510</v>
      </c>
      <c r="V754" s="79" t="s">
        <v>731</v>
      </c>
      <c r="W754" s="87" t="s">
        <v>437</v>
      </c>
      <c r="X754" s="87" t="s">
        <v>437</v>
      </c>
    </row>
    <row r="755" spans="1:24" ht="25.5" hidden="1">
      <c r="A755" s="74" t="s">
        <v>1511</v>
      </c>
      <c r="B755" s="75"/>
      <c r="C755" s="75"/>
      <c r="D755" s="75"/>
      <c r="E755" s="75"/>
      <c r="F755" s="318"/>
      <c r="G755" s="407"/>
      <c r="H755" s="75"/>
      <c r="I755" s="412"/>
      <c r="J755" s="420"/>
      <c r="K755" s="75"/>
      <c r="L755" s="75"/>
      <c r="M755" s="75"/>
      <c r="N755" s="75"/>
      <c r="O755" s="102"/>
      <c r="P755" s="79"/>
      <c r="Q755" s="79"/>
      <c r="R755" s="79">
        <v>38</v>
      </c>
      <c r="S755" s="62" t="s">
        <v>1507</v>
      </c>
      <c r="T755" s="99" t="s">
        <v>113</v>
      </c>
      <c r="U755" s="63" t="s">
        <v>1512</v>
      </c>
      <c r="V755" s="79" t="s">
        <v>731</v>
      </c>
      <c r="W755" s="87" t="s">
        <v>437</v>
      </c>
      <c r="X755" s="87" t="s">
        <v>437</v>
      </c>
    </row>
    <row r="756" spans="1:24" hidden="1">
      <c r="A756" s="74" t="s">
        <v>1513</v>
      </c>
      <c r="B756" s="75"/>
      <c r="C756" s="75"/>
      <c r="D756" s="75"/>
      <c r="E756" s="75"/>
      <c r="F756" s="318"/>
      <c r="G756" s="407"/>
      <c r="H756" s="75"/>
      <c r="I756" s="412"/>
      <c r="J756" s="420"/>
      <c r="K756" s="75"/>
      <c r="L756" s="75"/>
      <c r="M756" s="75"/>
      <c r="N756" s="75"/>
      <c r="O756" s="102"/>
      <c r="P756" s="79"/>
      <c r="Q756" s="79"/>
      <c r="R756" s="79">
        <v>36</v>
      </c>
      <c r="S756" s="62" t="s">
        <v>1507</v>
      </c>
      <c r="T756" s="99" t="s">
        <v>113</v>
      </c>
      <c r="U756" s="63" t="s">
        <v>1514</v>
      </c>
      <c r="V756" s="79" t="s">
        <v>731</v>
      </c>
      <c r="W756" s="87" t="s">
        <v>437</v>
      </c>
      <c r="X756" s="87" t="s">
        <v>437</v>
      </c>
    </row>
    <row r="757" spans="1:24" ht="25.5" hidden="1">
      <c r="A757" s="91" t="s">
        <v>1515</v>
      </c>
      <c r="B757" s="75"/>
      <c r="C757" s="75"/>
      <c r="D757" s="75"/>
      <c r="E757" s="75"/>
      <c r="F757" s="318"/>
      <c r="G757" s="407"/>
      <c r="H757" s="75"/>
      <c r="I757" s="412"/>
      <c r="J757" s="420"/>
      <c r="K757" s="75"/>
      <c r="L757" s="75"/>
      <c r="M757" s="75"/>
      <c r="N757" s="75"/>
      <c r="O757" s="102"/>
      <c r="P757" s="79"/>
      <c r="Q757" s="79"/>
      <c r="R757" s="79">
        <v>43</v>
      </c>
      <c r="S757" s="62" t="s">
        <v>1507</v>
      </c>
      <c r="T757" s="99" t="s">
        <v>113</v>
      </c>
      <c r="U757" s="63" t="s">
        <v>1516</v>
      </c>
      <c r="V757" s="79" t="s">
        <v>731</v>
      </c>
      <c r="W757" s="87" t="s">
        <v>437</v>
      </c>
      <c r="X757" s="87" t="s">
        <v>437</v>
      </c>
    </row>
    <row r="758" spans="1:24" hidden="1">
      <c r="A758" s="91" t="s">
        <v>1515</v>
      </c>
      <c r="B758" s="75"/>
      <c r="C758" s="75"/>
      <c r="D758" s="75"/>
      <c r="E758" s="75"/>
      <c r="F758" s="318"/>
      <c r="G758" s="407"/>
      <c r="H758" s="75"/>
      <c r="I758" s="412"/>
      <c r="J758" s="420"/>
      <c r="K758" s="75"/>
      <c r="L758" s="75"/>
      <c r="M758" s="75"/>
      <c r="N758" s="75"/>
      <c r="O758" s="102"/>
      <c r="P758" s="79"/>
      <c r="Q758" s="79"/>
      <c r="R758" s="79">
        <v>40</v>
      </c>
      <c r="S758" s="62" t="s">
        <v>1507</v>
      </c>
      <c r="T758" s="99" t="s">
        <v>113</v>
      </c>
      <c r="U758" s="63" t="s">
        <v>1517</v>
      </c>
      <c r="V758" s="79" t="s">
        <v>731</v>
      </c>
      <c r="W758" s="87" t="s">
        <v>437</v>
      </c>
      <c r="X758" s="87" t="s">
        <v>437</v>
      </c>
    </row>
    <row r="759" spans="1:24" ht="25.5" hidden="1">
      <c r="A759" s="91" t="s">
        <v>1518</v>
      </c>
      <c r="B759" s="75"/>
      <c r="C759" s="75"/>
      <c r="D759" s="75"/>
      <c r="E759" s="75"/>
      <c r="F759" s="318"/>
      <c r="G759" s="407"/>
      <c r="H759" s="75"/>
      <c r="I759" s="412"/>
      <c r="J759" s="420"/>
      <c r="K759" s="75"/>
      <c r="L759" s="75"/>
      <c r="M759" s="75"/>
      <c r="N759" s="75"/>
      <c r="O759" s="102"/>
      <c r="P759" s="79"/>
      <c r="Q759" s="79"/>
      <c r="R759" s="79">
        <v>40</v>
      </c>
      <c r="S759" s="62" t="s">
        <v>1519</v>
      </c>
      <c r="T759" s="99" t="s">
        <v>113</v>
      </c>
      <c r="U759" s="63" t="s">
        <v>1520</v>
      </c>
      <c r="V759" s="79" t="s">
        <v>731</v>
      </c>
      <c r="W759" s="87" t="s">
        <v>437</v>
      </c>
      <c r="X759" s="87" t="s">
        <v>437</v>
      </c>
    </row>
    <row r="760" spans="1:24" ht="25.5" hidden="1">
      <c r="A760" s="91" t="s">
        <v>1521</v>
      </c>
      <c r="B760" s="75"/>
      <c r="C760" s="75"/>
      <c r="D760" s="75"/>
      <c r="E760" s="75"/>
      <c r="F760" s="318"/>
      <c r="G760" s="407"/>
      <c r="H760" s="75"/>
      <c r="I760" s="412"/>
      <c r="J760" s="420"/>
      <c r="K760" s="75"/>
      <c r="L760" s="75"/>
      <c r="M760" s="75"/>
      <c r="N760" s="75"/>
      <c r="O760" s="102"/>
      <c r="P760" s="79"/>
      <c r="Q760" s="79"/>
      <c r="R760" s="79">
        <v>39</v>
      </c>
      <c r="S760" s="62" t="s">
        <v>459</v>
      </c>
      <c r="T760" s="99" t="s">
        <v>113</v>
      </c>
      <c r="U760" s="63" t="s">
        <v>1522</v>
      </c>
      <c r="V760" s="79" t="s">
        <v>731</v>
      </c>
      <c r="W760" s="87" t="s">
        <v>437</v>
      </c>
      <c r="X760" s="87" t="s">
        <v>437</v>
      </c>
    </row>
    <row r="761" spans="1:24" hidden="1">
      <c r="A761" s="91" t="s">
        <v>1523</v>
      </c>
      <c r="B761" s="75"/>
      <c r="C761" s="75"/>
      <c r="D761" s="75"/>
      <c r="E761" s="75"/>
      <c r="F761" s="318"/>
      <c r="G761" s="407"/>
      <c r="H761" s="75"/>
      <c r="I761" s="412"/>
      <c r="J761" s="420"/>
      <c r="K761" s="75"/>
      <c r="L761" s="75"/>
      <c r="M761" s="75"/>
      <c r="N761" s="75"/>
      <c r="O761" s="102"/>
      <c r="P761" s="79"/>
      <c r="Q761" s="79"/>
      <c r="R761" s="79">
        <v>40</v>
      </c>
      <c r="S761" s="62" t="s">
        <v>459</v>
      </c>
      <c r="T761" s="99" t="s">
        <v>113</v>
      </c>
      <c r="U761" s="63" t="s">
        <v>1524</v>
      </c>
      <c r="V761" s="79" t="s">
        <v>731</v>
      </c>
      <c r="W761" s="87" t="s">
        <v>437</v>
      </c>
      <c r="X761" s="87" t="s">
        <v>437</v>
      </c>
    </row>
    <row r="762" spans="1:24" ht="25.5" hidden="1">
      <c r="A762" s="91" t="s">
        <v>1525</v>
      </c>
      <c r="B762" s="75"/>
      <c r="C762" s="75"/>
      <c r="D762" s="75"/>
      <c r="E762" s="75"/>
      <c r="F762" s="318"/>
      <c r="G762" s="407"/>
      <c r="H762" s="75"/>
      <c r="I762" s="412"/>
      <c r="J762" s="420"/>
      <c r="K762" s="75"/>
      <c r="L762" s="75"/>
      <c r="M762" s="75"/>
      <c r="N762" s="75"/>
      <c r="O762" s="102"/>
      <c r="P762" s="79"/>
      <c r="Q762" s="79"/>
      <c r="R762" s="79">
        <v>37</v>
      </c>
      <c r="S762" s="62" t="s">
        <v>459</v>
      </c>
      <c r="T762" s="99" t="s">
        <v>113</v>
      </c>
      <c r="U762" s="63" t="s">
        <v>1526</v>
      </c>
      <c r="V762" s="79" t="s">
        <v>731</v>
      </c>
      <c r="W762" s="87" t="s">
        <v>437</v>
      </c>
      <c r="X762" s="87" t="s">
        <v>437</v>
      </c>
    </row>
    <row r="763" spans="1:24" hidden="1">
      <c r="A763" s="91" t="s">
        <v>1527</v>
      </c>
      <c r="B763" s="75"/>
      <c r="C763" s="75"/>
      <c r="D763" s="75"/>
      <c r="E763" s="75"/>
      <c r="F763" s="318"/>
      <c r="G763" s="407"/>
      <c r="H763" s="75"/>
      <c r="I763" s="412"/>
      <c r="J763" s="420"/>
      <c r="K763" s="75"/>
      <c r="L763" s="75"/>
      <c r="M763" s="75"/>
      <c r="N763" s="75"/>
      <c r="O763" s="102"/>
      <c r="P763" s="79"/>
      <c r="Q763" s="79"/>
      <c r="R763" s="79">
        <v>41</v>
      </c>
      <c r="S763" s="62" t="s">
        <v>459</v>
      </c>
      <c r="T763" s="99" t="s">
        <v>113</v>
      </c>
      <c r="U763" s="63" t="s">
        <v>1528</v>
      </c>
      <c r="V763" s="79" t="s">
        <v>731</v>
      </c>
      <c r="W763" s="87" t="s">
        <v>437</v>
      </c>
      <c r="X763" s="87" t="s">
        <v>437</v>
      </c>
    </row>
    <row r="764" spans="1:24" ht="25.5" hidden="1">
      <c r="A764" s="91" t="s">
        <v>1529</v>
      </c>
      <c r="B764" s="75"/>
      <c r="C764" s="75"/>
      <c r="D764" s="75"/>
      <c r="E764" s="75"/>
      <c r="F764" s="318"/>
      <c r="G764" s="407"/>
      <c r="H764" s="75"/>
      <c r="I764" s="412"/>
      <c r="J764" s="420"/>
      <c r="K764" s="75"/>
      <c r="L764" s="75"/>
      <c r="M764" s="75"/>
      <c r="N764" s="75"/>
      <c r="O764" s="102"/>
      <c r="P764" s="79"/>
      <c r="Q764" s="79"/>
      <c r="R764" s="79">
        <v>36</v>
      </c>
      <c r="S764" s="62" t="s">
        <v>1530</v>
      </c>
      <c r="T764" s="99" t="s">
        <v>113</v>
      </c>
      <c r="U764" s="63" t="s">
        <v>1531</v>
      </c>
      <c r="V764" s="79" t="s">
        <v>731</v>
      </c>
      <c r="W764" s="87" t="s">
        <v>437</v>
      </c>
      <c r="X764" s="87" t="s">
        <v>437</v>
      </c>
    </row>
    <row r="765" spans="1:24" hidden="1">
      <c r="A765" s="91" t="s">
        <v>1532</v>
      </c>
      <c r="B765" s="75"/>
      <c r="C765" s="75"/>
      <c r="D765" s="75"/>
      <c r="E765" s="75"/>
      <c r="F765" s="318"/>
      <c r="G765" s="407"/>
      <c r="H765" s="75"/>
      <c r="I765" s="412"/>
      <c r="J765" s="420"/>
      <c r="K765" s="75"/>
      <c r="L765" s="75"/>
      <c r="M765" s="75"/>
      <c r="N765" s="75"/>
      <c r="O765" s="102"/>
      <c r="P765" s="79"/>
      <c r="Q765" s="79"/>
      <c r="R765" s="79">
        <v>59</v>
      </c>
      <c r="S765" s="62" t="s">
        <v>463</v>
      </c>
      <c r="T765" s="99" t="s">
        <v>113</v>
      </c>
      <c r="U765" s="63" t="s">
        <v>1533</v>
      </c>
      <c r="V765" s="79" t="s">
        <v>731</v>
      </c>
      <c r="W765" s="87" t="s">
        <v>437</v>
      </c>
      <c r="X765" s="87" t="s">
        <v>437</v>
      </c>
    </row>
    <row r="766" spans="1:24" hidden="1">
      <c r="A766" s="91" t="s">
        <v>1534</v>
      </c>
      <c r="B766" s="75"/>
      <c r="C766" s="75"/>
      <c r="D766" s="75"/>
      <c r="E766" s="75"/>
      <c r="F766" s="318"/>
      <c r="G766" s="407"/>
      <c r="H766" s="75"/>
      <c r="I766" s="412"/>
      <c r="J766" s="420"/>
      <c r="K766" s="75"/>
      <c r="L766" s="75"/>
      <c r="M766" s="75"/>
      <c r="N766" s="75"/>
      <c r="O766" s="102"/>
      <c r="P766" s="79"/>
      <c r="Q766" s="79"/>
      <c r="R766" s="79">
        <v>58</v>
      </c>
      <c r="S766" s="62" t="s">
        <v>463</v>
      </c>
      <c r="T766" s="99" t="s">
        <v>113</v>
      </c>
      <c r="U766" s="63" t="s">
        <v>1535</v>
      </c>
      <c r="V766" s="79" t="s">
        <v>731</v>
      </c>
      <c r="W766" s="87" t="s">
        <v>437</v>
      </c>
      <c r="X766" s="87" t="s">
        <v>437</v>
      </c>
    </row>
    <row r="767" spans="1:24" ht="25.5" hidden="1">
      <c r="A767" s="91" t="s">
        <v>1536</v>
      </c>
      <c r="B767" s="75"/>
      <c r="C767" s="75"/>
      <c r="D767" s="75"/>
      <c r="E767" s="75"/>
      <c r="F767" s="318"/>
      <c r="G767" s="407"/>
      <c r="H767" s="75"/>
      <c r="I767" s="412"/>
      <c r="J767" s="420"/>
      <c r="K767" s="75"/>
      <c r="L767" s="75"/>
      <c r="M767" s="75"/>
      <c r="N767" s="75"/>
      <c r="O767" s="102"/>
      <c r="P767" s="79"/>
      <c r="Q767" s="79"/>
      <c r="R767" s="79">
        <v>60</v>
      </c>
      <c r="S767" s="62" t="s">
        <v>1537</v>
      </c>
      <c r="T767" s="99" t="s">
        <v>113</v>
      </c>
      <c r="U767" s="63" t="s">
        <v>1538</v>
      </c>
      <c r="V767" s="79" t="s">
        <v>731</v>
      </c>
      <c r="W767" s="87" t="s">
        <v>437</v>
      </c>
      <c r="X767" s="87" t="s">
        <v>437</v>
      </c>
    </row>
    <row r="768" spans="1:24" ht="25.5" hidden="1">
      <c r="A768" s="91" t="s">
        <v>1539</v>
      </c>
      <c r="B768" s="75"/>
      <c r="C768" s="75"/>
      <c r="D768" s="75"/>
      <c r="E768" s="75"/>
      <c r="F768" s="318"/>
      <c r="G768" s="407"/>
      <c r="H768" s="75"/>
      <c r="I768" s="412"/>
      <c r="J768" s="420"/>
      <c r="K768" s="75"/>
      <c r="L768" s="75"/>
      <c r="M768" s="75"/>
      <c r="N768" s="75"/>
      <c r="O768" s="102"/>
      <c r="P768" s="79"/>
      <c r="Q768" s="79"/>
      <c r="R768" s="79">
        <v>58</v>
      </c>
      <c r="S768" s="62" t="s">
        <v>473</v>
      </c>
      <c r="T768" s="99" t="s">
        <v>113</v>
      </c>
      <c r="U768" s="63" t="s">
        <v>1540</v>
      </c>
      <c r="V768" s="79" t="s">
        <v>731</v>
      </c>
      <c r="W768" s="87" t="s">
        <v>437</v>
      </c>
      <c r="X768" s="87" t="s">
        <v>437</v>
      </c>
    </row>
    <row r="769" spans="1:24" hidden="1">
      <c r="A769" s="91" t="s">
        <v>1541</v>
      </c>
      <c r="B769" s="75"/>
      <c r="C769" s="75"/>
      <c r="D769" s="75"/>
      <c r="E769" s="75"/>
      <c r="F769" s="318"/>
      <c r="G769" s="407"/>
      <c r="H769" s="75"/>
      <c r="I769" s="412"/>
      <c r="J769" s="420"/>
      <c r="K769" s="75"/>
      <c r="L769" s="75"/>
      <c r="M769" s="75"/>
      <c r="N769" s="75"/>
      <c r="O769" s="102"/>
      <c r="P769" s="79"/>
      <c r="Q769" s="79"/>
      <c r="R769" s="79">
        <v>64</v>
      </c>
      <c r="S769" s="62" t="s">
        <v>473</v>
      </c>
      <c r="T769" s="99" t="s">
        <v>113</v>
      </c>
      <c r="U769" s="63" t="s">
        <v>1542</v>
      </c>
      <c r="V769" s="79" t="s">
        <v>731</v>
      </c>
      <c r="W769" s="87" t="s">
        <v>437</v>
      </c>
      <c r="X769" s="87" t="s">
        <v>437</v>
      </c>
    </row>
    <row r="770" spans="1:24" ht="25.5" hidden="1">
      <c r="A770" s="91" t="s">
        <v>1543</v>
      </c>
      <c r="B770" s="75"/>
      <c r="C770" s="75"/>
      <c r="D770" s="75"/>
      <c r="E770" s="75"/>
      <c r="F770" s="318"/>
      <c r="G770" s="407"/>
      <c r="H770" s="75"/>
      <c r="I770" s="412"/>
      <c r="J770" s="420"/>
      <c r="K770" s="75"/>
      <c r="L770" s="75"/>
      <c r="M770" s="75"/>
      <c r="N770" s="75"/>
      <c r="O770" s="102"/>
      <c r="P770" s="79"/>
      <c r="Q770" s="79"/>
      <c r="R770" s="79">
        <v>64</v>
      </c>
      <c r="S770" s="62" t="s">
        <v>473</v>
      </c>
      <c r="T770" s="99" t="s">
        <v>113</v>
      </c>
      <c r="U770" s="63" t="s">
        <v>1544</v>
      </c>
      <c r="V770" s="79" t="s">
        <v>731</v>
      </c>
      <c r="W770" s="87" t="s">
        <v>437</v>
      </c>
      <c r="X770" s="87" t="s">
        <v>437</v>
      </c>
    </row>
    <row r="771" spans="1:24" ht="25.5" hidden="1">
      <c r="A771" s="91" t="s">
        <v>1545</v>
      </c>
      <c r="B771" s="75"/>
      <c r="C771" s="75"/>
      <c r="D771" s="75"/>
      <c r="E771" s="75"/>
      <c r="F771" s="318"/>
      <c r="G771" s="407"/>
      <c r="H771" s="75"/>
      <c r="I771" s="412"/>
      <c r="J771" s="420"/>
      <c r="K771" s="75"/>
      <c r="L771" s="75"/>
      <c r="M771" s="75"/>
      <c r="N771" s="75"/>
      <c r="O771" s="102"/>
      <c r="P771" s="79"/>
      <c r="Q771" s="79"/>
      <c r="R771" s="79">
        <v>64</v>
      </c>
      <c r="S771" s="62" t="s">
        <v>473</v>
      </c>
      <c r="T771" s="99" t="s">
        <v>113</v>
      </c>
      <c r="U771" s="63" t="s">
        <v>1546</v>
      </c>
      <c r="V771" s="79" t="s">
        <v>731</v>
      </c>
      <c r="W771" s="87" t="s">
        <v>437</v>
      </c>
      <c r="X771" s="87" t="s">
        <v>437</v>
      </c>
    </row>
    <row r="772" spans="1:24" ht="25.5" hidden="1">
      <c r="A772" s="91" t="s">
        <v>1547</v>
      </c>
      <c r="B772" s="75"/>
      <c r="C772" s="75"/>
      <c r="D772" s="75"/>
      <c r="E772" s="75"/>
      <c r="F772" s="318"/>
      <c r="G772" s="407"/>
      <c r="H772" s="75"/>
      <c r="I772" s="412"/>
      <c r="J772" s="420"/>
      <c r="K772" s="75"/>
      <c r="L772" s="75"/>
      <c r="M772" s="75"/>
      <c r="N772" s="75"/>
      <c r="O772" s="102"/>
      <c r="P772" s="79"/>
      <c r="Q772" s="79"/>
      <c r="R772" s="79">
        <v>64</v>
      </c>
      <c r="S772" s="62" t="s">
        <v>473</v>
      </c>
      <c r="T772" s="99" t="s">
        <v>113</v>
      </c>
      <c r="U772" s="63" t="s">
        <v>1548</v>
      </c>
      <c r="V772" s="79" t="s">
        <v>731</v>
      </c>
      <c r="W772" s="87" t="s">
        <v>437</v>
      </c>
      <c r="X772" s="87" t="s">
        <v>437</v>
      </c>
    </row>
    <row r="773" spans="1:24" hidden="1">
      <c r="A773" s="91" t="s">
        <v>1549</v>
      </c>
      <c r="B773" s="75"/>
      <c r="C773" s="75"/>
      <c r="D773" s="75"/>
      <c r="E773" s="75"/>
      <c r="F773" s="318"/>
      <c r="G773" s="407"/>
      <c r="H773" s="75"/>
      <c r="I773" s="412"/>
      <c r="J773" s="420"/>
      <c r="K773" s="75"/>
      <c r="L773" s="75"/>
      <c r="M773" s="75"/>
      <c r="N773" s="75"/>
      <c r="O773" s="102"/>
      <c r="P773" s="79"/>
      <c r="Q773" s="79"/>
      <c r="R773" s="79">
        <v>58</v>
      </c>
      <c r="S773" s="62" t="s">
        <v>473</v>
      </c>
      <c r="T773" s="99" t="s">
        <v>113</v>
      </c>
      <c r="U773" s="63" t="s">
        <v>1550</v>
      </c>
      <c r="V773" s="79" t="s">
        <v>731</v>
      </c>
      <c r="W773" s="87" t="s">
        <v>437</v>
      </c>
      <c r="X773" s="87" t="s">
        <v>437</v>
      </c>
    </row>
    <row r="774" spans="1:24" ht="25.5" hidden="1">
      <c r="A774" s="91" t="s">
        <v>1551</v>
      </c>
      <c r="B774" s="75"/>
      <c r="C774" s="75"/>
      <c r="D774" s="75"/>
      <c r="E774" s="75"/>
      <c r="F774" s="318"/>
      <c r="G774" s="407"/>
      <c r="H774" s="75"/>
      <c r="I774" s="412"/>
      <c r="J774" s="420"/>
      <c r="K774" s="75"/>
      <c r="L774" s="75"/>
      <c r="M774" s="75"/>
      <c r="N774" s="75"/>
      <c r="O774" s="102"/>
      <c r="P774" s="79"/>
      <c r="Q774" s="79"/>
      <c r="R774" s="79">
        <v>57</v>
      </c>
      <c r="S774" s="62" t="s">
        <v>473</v>
      </c>
      <c r="T774" s="99" t="s">
        <v>113</v>
      </c>
      <c r="U774" s="63" t="s">
        <v>1552</v>
      </c>
      <c r="V774" s="79" t="s">
        <v>731</v>
      </c>
      <c r="W774" s="87" t="s">
        <v>437</v>
      </c>
      <c r="X774" s="87" t="s">
        <v>437</v>
      </c>
    </row>
    <row r="775" spans="1:24" ht="25.5" hidden="1">
      <c r="A775" s="91" t="s">
        <v>1553</v>
      </c>
      <c r="B775" s="75"/>
      <c r="C775" s="75"/>
      <c r="D775" s="75"/>
      <c r="E775" s="75"/>
      <c r="F775" s="318"/>
      <c r="G775" s="407"/>
      <c r="H775" s="75"/>
      <c r="I775" s="412"/>
      <c r="J775" s="420"/>
      <c r="K775" s="75"/>
      <c r="L775" s="75"/>
      <c r="M775" s="75"/>
      <c r="N775" s="75"/>
      <c r="O775" s="102"/>
      <c r="P775" s="79"/>
      <c r="Q775" s="79"/>
      <c r="R775" s="79">
        <v>58</v>
      </c>
      <c r="S775" s="62" t="s">
        <v>473</v>
      </c>
      <c r="T775" s="99" t="s">
        <v>113</v>
      </c>
      <c r="U775" s="63" t="s">
        <v>1554</v>
      </c>
      <c r="V775" s="79" t="s">
        <v>731</v>
      </c>
      <c r="W775" s="87" t="s">
        <v>437</v>
      </c>
      <c r="X775" s="87" t="s">
        <v>437</v>
      </c>
    </row>
    <row r="776" spans="1:24" hidden="1">
      <c r="A776" s="91" t="s">
        <v>1555</v>
      </c>
      <c r="B776" s="75"/>
      <c r="C776" s="75"/>
      <c r="D776" s="75"/>
      <c r="E776" s="75"/>
      <c r="F776" s="318"/>
      <c r="G776" s="407"/>
      <c r="H776" s="75"/>
      <c r="I776" s="412"/>
      <c r="J776" s="420"/>
      <c r="K776" s="75"/>
      <c r="L776" s="75"/>
      <c r="M776" s="75"/>
      <c r="N776" s="75"/>
      <c r="O776" s="102"/>
      <c r="P776" s="79"/>
      <c r="Q776" s="79"/>
      <c r="R776" s="79">
        <v>58</v>
      </c>
      <c r="S776" s="62" t="s">
        <v>473</v>
      </c>
      <c r="T776" s="99" t="s">
        <v>113</v>
      </c>
      <c r="U776" s="63" t="s">
        <v>1556</v>
      </c>
      <c r="V776" s="79" t="s">
        <v>731</v>
      </c>
      <c r="W776" s="87" t="s">
        <v>437</v>
      </c>
      <c r="X776" s="87" t="s">
        <v>437</v>
      </c>
    </row>
    <row r="777" spans="1:24" ht="25.5" hidden="1">
      <c r="A777" s="91" t="s">
        <v>1557</v>
      </c>
      <c r="B777" s="75"/>
      <c r="C777" s="75"/>
      <c r="D777" s="75"/>
      <c r="E777" s="75"/>
      <c r="F777" s="318"/>
      <c r="G777" s="407"/>
      <c r="H777" s="75"/>
      <c r="I777" s="412"/>
      <c r="J777" s="420"/>
      <c r="K777" s="75"/>
      <c r="L777" s="75"/>
      <c r="M777" s="75"/>
      <c r="N777" s="75"/>
      <c r="O777" s="102"/>
      <c r="P777" s="79"/>
      <c r="Q777" s="79"/>
      <c r="R777" s="79">
        <v>58</v>
      </c>
      <c r="S777" s="62" t="s">
        <v>473</v>
      </c>
      <c r="T777" s="99" t="s">
        <v>113</v>
      </c>
      <c r="U777" s="63" t="s">
        <v>1558</v>
      </c>
      <c r="V777" s="79" t="s">
        <v>731</v>
      </c>
      <c r="W777" s="87" t="s">
        <v>437</v>
      </c>
      <c r="X777" s="87" t="s">
        <v>437</v>
      </c>
    </row>
    <row r="778" spans="1:24" ht="25.5" hidden="1">
      <c r="A778" s="91" t="s">
        <v>1559</v>
      </c>
      <c r="B778" s="75"/>
      <c r="C778" s="75"/>
      <c r="D778" s="75"/>
      <c r="E778" s="75"/>
      <c r="F778" s="318"/>
      <c r="G778" s="407"/>
      <c r="H778" s="75"/>
      <c r="I778" s="412"/>
      <c r="J778" s="420"/>
      <c r="K778" s="75"/>
      <c r="L778" s="75"/>
      <c r="M778" s="75"/>
      <c r="N778" s="75"/>
      <c r="O778" s="102"/>
      <c r="P778" s="79"/>
      <c r="Q778" s="79"/>
      <c r="R778" s="79">
        <v>56</v>
      </c>
      <c r="S778" s="62" t="s">
        <v>473</v>
      </c>
      <c r="T778" s="99" t="s">
        <v>113</v>
      </c>
      <c r="U778" s="63" t="s">
        <v>1560</v>
      </c>
      <c r="V778" s="79" t="s">
        <v>731</v>
      </c>
      <c r="W778" s="87" t="s">
        <v>437</v>
      </c>
      <c r="X778" s="87" t="s">
        <v>437</v>
      </c>
    </row>
    <row r="779" spans="1:24" hidden="1">
      <c r="A779" s="91" t="s">
        <v>1561</v>
      </c>
      <c r="B779" s="75"/>
      <c r="C779" s="75"/>
      <c r="D779" s="75"/>
      <c r="E779" s="75"/>
      <c r="F779" s="318"/>
      <c r="G779" s="407"/>
      <c r="H779" s="75"/>
      <c r="I779" s="412"/>
      <c r="J779" s="420"/>
      <c r="K779" s="75"/>
      <c r="L779" s="75"/>
      <c r="M779" s="75"/>
      <c r="N779" s="75"/>
      <c r="O779" s="102"/>
      <c r="P779" s="79"/>
      <c r="Q779" s="79"/>
      <c r="R779" s="79">
        <v>60</v>
      </c>
      <c r="S779" s="62" t="s">
        <v>473</v>
      </c>
      <c r="T779" s="99" t="s">
        <v>113</v>
      </c>
      <c r="U779" s="63" t="s">
        <v>1562</v>
      </c>
      <c r="V779" s="79" t="s">
        <v>731</v>
      </c>
      <c r="W779" s="87" t="s">
        <v>437</v>
      </c>
      <c r="X779" s="87" t="s">
        <v>437</v>
      </c>
    </row>
    <row r="780" spans="1:24" ht="25.5" hidden="1">
      <c r="A780" s="91" t="s">
        <v>1563</v>
      </c>
      <c r="B780" s="75"/>
      <c r="C780" s="75"/>
      <c r="D780" s="75"/>
      <c r="E780" s="75"/>
      <c r="F780" s="318"/>
      <c r="G780" s="407"/>
      <c r="H780" s="75"/>
      <c r="I780" s="412"/>
      <c r="J780" s="420"/>
      <c r="K780" s="75"/>
      <c r="L780" s="75"/>
      <c r="M780" s="75"/>
      <c r="N780" s="75"/>
      <c r="O780" s="102"/>
      <c r="P780" s="79"/>
      <c r="Q780" s="79"/>
      <c r="R780" s="79">
        <v>63</v>
      </c>
      <c r="S780" s="62" t="s">
        <v>473</v>
      </c>
      <c r="T780" s="99" t="s">
        <v>113</v>
      </c>
      <c r="U780" s="63" t="s">
        <v>1564</v>
      </c>
      <c r="V780" s="79" t="s">
        <v>731</v>
      </c>
      <c r="W780" s="87" t="s">
        <v>437</v>
      </c>
      <c r="X780" s="87" t="s">
        <v>437</v>
      </c>
    </row>
    <row r="781" spans="1:24" ht="25.5" hidden="1">
      <c r="A781" s="91" t="s">
        <v>1565</v>
      </c>
      <c r="B781" s="75"/>
      <c r="C781" s="75"/>
      <c r="D781" s="75"/>
      <c r="E781" s="75"/>
      <c r="F781" s="318"/>
      <c r="G781" s="407"/>
      <c r="H781" s="75"/>
      <c r="I781" s="412"/>
      <c r="J781" s="420"/>
      <c r="K781" s="75"/>
      <c r="L781" s="75"/>
      <c r="M781" s="75"/>
      <c r="N781" s="75"/>
      <c r="O781" s="102"/>
      <c r="P781" s="79"/>
      <c r="Q781" s="79"/>
      <c r="R781" s="79">
        <v>57</v>
      </c>
      <c r="S781" s="62" t="s">
        <v>473</v>
      </c>
      <c r="T781" s="99" t="s">
        <v>113</v>
      </c>
      <c r="U781" s="63" t="s">
        <v>1566</v>
      </c>
      <c r="V781" s="79" t="s">
        <v>731</v>
      </c>
      <c r="W781" s="87" t="s">
        <v>437</v>
      </c>
      <c r="X781" s="87" t="s">
        <v>437</v>
      </c>
    </row>
    <row r="782" spans="1:24" hidden="1">
      <c r="A782" s="91" t="s">
        <v>1567</v>
      </c>
      <c r="B782" s="75"/>
      <c r="C782" s="75"/>
      <c r="D782" s="75"/>
      <c r="E782" s="75"/>
      <c r="F782" s="318"/>
      <c r="G782" s="407"/>
      <c r="H782" s="75"/>
      <c r="I782" s="412"/>
      <c r="J782" s="420"/>
      <c r="K782" s="75"/>
      <c r="L782" s="75"/>
      <c r="M782" s="75"/>
      <c r="N782" s="75"/>
      <c r="O782" s="102"/>
      <c r="P782" s="79"/>
      <c r="Q782" s="79"/>
      <c r="R782" s="79">
        <v>41</v>
      </c>
      <c r="S782" s="62" t="s">
        <v>473</v>
      </c>
      <c r="T782" s="99" t="s">
        <v>113</v>
      </c>
      <c r="U782" s="63" t="s">
        <v>1568</v>
      </c>
      <c r="V782" s="79" t="s">
        <v>731</v>
      </c>
      <c r="W782" s="87" t="s">
        <v>437</v>
      </c>
      <c r="X782" s="87" t="s">
        <v>437</v>
      </c>
    </row>
    <row r="783" spans="1:24" hidden="1">
      <c r="A783" s="91" t="s">
        <v>1569</v>
      </c>
      <c r="B783" s="75"/>
      <c r="C783" s="75"/>
      <c r="D783" s="75"/>
      <c r="E783" s="75"/>
      <c r="F783" s="318"/>
      <c r="G783" s="407"/>
      <c r="H783" s="75"/>
      <c r="I783" s="412"/>
      <c r="J783" s="420"/>
      <c r="K783" s="75"/>
      <c r="L783" s="75"/>
      <c r="M783" s="75"/>
      <c r="N783" s="75"/>
      <c r="O783" s="102"/>
      <c r="P783" s="79"/>
      <c r="Q783" s="79"/>
      <c r="R783" s="79">
        <v>46</v>
      </c>
      <c r="S783" s="62" t="s">
        <v>473</v>
      </c>
      <c r="T783" s="99" t="s">
        <v>113</v>
      </c>
      <c r="U783" s="63" t="s">
        <v>1570</v>
      </c>
      <c r="V783" s="79" t="s">
        <v>731</v>
      </c>
      <c r="W783" s="87" t="s">
        <v>437</v>
      </c>
      <c r="X783" s="87" t="s">
        <v>437</v>
      </c>
    </row>
    <row r="784" spans="1:24" hidden="1">
      <c r="A784" s="91" t="s">
        <v>1569</v>
      </c>
      <c r="B784" s="75"/>
      <c r="C784" s="75"/>
      <c r="D784" s="75"/>
      <c r="E784" s="75"/>
      <c r="F784" s="318"/>
      <c r="G784" s="407"/>
      <c r="H784" s="75"/>
      <c r="I784" s="412"/>
      <c r="J784" s="420"/>
      <c r="K784" s="75"/>
      <c r="L784" s="75"/>
      <c r="M784" s="75"/>
      <c r="N784" s="75"/>
      <c r="O784" s="102"/>
      <c r="P784" s="79"/>
      <c r="Q784" s="79"/>
      <c r="R784" s="79">
        <v>42</v>
      </c>
      <c r="S784" s="62" t="s">
        <v>473</v>
      </c>
      <c r="T784" s="99" t="s">
        <v>113</v>
      </c>
      <c r="U784" s="63" t="s">
        <v>1571</v>
      </c>
      <c r="V784" s="79" t="s">
        <v>731</v>
      </c>
      <c r="W784" s="87" t="s">
        <v>437</v>
      </c>
      <c r="X784" s="87" t="s">
        <v>437</v>
      </c>
    </row>
    <row r="785" spans="1:24" hidden="1">
      <c r="A785" s="91" t="s">
        <v>1572</v>
      </c>
      <c r="B785" s="75"/>
      <c r="C785" s="75"/>
      <c r="D785" s="75"/>
      <c r="E785" s="75"/>
      <c r="F785" s="318"/>
      <c r="G785" s="407"/>
      <c r="H785" s="75"/>
      <c r="I785" s="412"/>
      <c r="J785" s="420"/>
      <c r="K785" s="75"/>
      <c r="L785" s="75"/>
      <c r="M785" s="75"/>
      <c r="N785" s="75"/>
      <c r="O785" s="102"/>
      <c r="P785" s="79"/>
      <c r="Q785" s="79"/>
      <c r="R785" s="79">
        <v>40</v>
      </c>
      <c r="S785" s="62" t="s">
        <v>473</v>
      </c>
      <c r="T785" s="99" t="s">
        <v>113</v>
      </c>
      <c r="U785" s="63" t="s">
        <v>1573</v>
      </c>
      <c r="V785" s="79" t="s">
        <v>731</v>
      </c>
      <c r="W785" s="87" t="s">
        <v>437</v>
      </c>
      <c r="X785" s="87" t="s">
        <v>437</v>
      </c>
    </row>
    <row r="786" spans="1:24" hidden="1">
      <c r="A786" s="91" t="s">
        <v>1572</v>
      </c>
      <c r="B786" s="75"/>
      <c r="C786" s="75"/>
      <c r="D786" s="75"/>
      <c r="E786" s="75"/>
      <c r="F786" s="318"/>
      <c r="G786" s="407"/>
      <c r="H786" s="75"/>
      <c r="I786" s="412"/>
      <c r="J786" s="420"/>
      <c r="K786" s="75"/>
      <c r="L786" s="75"/>
      <c r="M786" s="75"/>
      <c r="N786" s="75"/>
      <c r="O786" s="102"/>
      <c r="P786" s="79"/>
      <c r="Q786" s="79"/>
      <c r="R786" s="79">
        <v>42</v>
      </c>
      <c r="S786" s="62" t="s">
        <v>473</v>
      </c>
      <c r="T786" s="99" t="s">
        <v>113</v>
      </c>
      <c r="U786" s="63" t="s">
        <v>1574</v>
      </c>
      <c r="V786" s="79" t="s">
        <v>731</v>
      </c>
      <c r="W786" s="87" t="s">
        <v>437</v>
      </c>
      <c r="X786" s="87" t="s">
        <v>437</v>
      </c>
    </row>
    <row r="787" spans="1:24" hidden="1">
      <c r="A787" s="91" t="s">
        <v>1575</v>
      </c>
      <c r="B787" s="75"/>
      <c r="C787" s="75"/>
      <c r="D787" s="75"/>
      <c r="E787" s="75"/>
      <c r="F787" s="318"/>
      <c r="G787" s="407"/>
      <c r="H787" s="75"/>
      <c r="I787" s="412"/>
      <c r="J787" s="420"/>
      <c r="K787" s="75"/>
      <c r="L787" s="75"/>
      <c r="M787" s="75"/>
      <c r="N787" s="75"/>
      <c r="O787" s="102"/>
      <c r="P787" s="79"/>
      <c r="Q787" s="79"/>
      <c r="R787" s="79">
        <v>40</v>
      </c>
      <c r="S787" s="62" t="s">
        <v>473</v>
      </c>
      <c r="T787" s="99" t="s">
        <v>113</v>
      </c>
      <c r="U787" s="63" t="s">
        <v>1576</v>
      </c>
      <c r="V787" s="79" t="s">
        <v>731</v>
      </c>
      <c r="W787" s="87" t="s">
        <v>437</v>
      </c>
      <c r="X787" s="87" t="s">
        <v>437</v>
      </c>
    </row>
    <row r="788" spans="1:24" hidden="1">
      <c r="A788" s="91" t="s">
        <v>1575</v>
      </c>
      <c r="B788" s="75"/>
      <c r="C788" s="75"/>
      <c r="D788" s="75"/>
      <c r="E788" s="75"/>
      <c r="F788" s="318"/>
      <c r="G788" s="407"/>
      <c r="H788" s="75"/>
      <c r="I788" s="412"/>
      <c r="J788" s="420"/>
      <c r="K788" s="75"/>
      <c r="L788" s="75"/>
      <c r="M788" s="75"/>
      <c r="N788" s="75"/>
      <c r="O788" s="102"/>
      <c r="P788" s="79"/>
      <c r="Q788" s="79"/>
      <c r="R788" s="79">
        <v>46</v>
      </c>
      <c r="S788" s="62" t="s">
        <v>473</v>
      </c>
      <c r="T788" s="99" t="s">
        <v>113</v>
      </c>
      <c r="U788" s="63" t="s">
        <v>1577</v>
      </c>
      <c r="V788" s="79" t="s">
        <v>731</v>
      </c>
      <c r="W788" s="87" t="s">
        <v>437</v>
      </c>
      <c r="X788" s="87" t="s">
        <v>437</v>
      </c>
    </row>
    <row r="789" spans="1:24" hidden="1">
      <c r="A789" s="91" t="s">
        <v>1578</v>
      </c>
      <c r="B789" s="75"/>
      <c r="C789" s="75"/>
      <c r="D789" s="75"/>
      <c r="E789" s="75"/>
      <c r="F789" s="318"/>
      <c r="G789" s="407"/>
      <c r="H789" s="75"/>
      <c r="I789" s="412"/>
      <c r="J789" s="420"/>
      <c r="K789" s="75"/>
      <c r="L789" s="75"/>
      <c r="M789" s="75"/>
      <c r="N789" s="75"/>
      <c r="O789" s="102"/>
      <c r="P789" s="79"/>
      <c r="Q789" s="79"/>
      <c r="R789" s="79">
        <v>42</v>
      </c>
      <c r="S789" s="62" t="s">
        <v>488</v>
      </c>
      <c r="T789" s="99" t="s">
        <v>113</v>
      </c>
      <c r="U789" s="63" t="s">
        <v>1579</v>
      </c>
      <c r="V789" s="79" t="s">
        <v>731</v>
      </c>
      <c r="W789" s="87" t="s">
        <v>437</v>
      </c>
      <c r="X789" s="87" t="s">
        <v>437</v>
      </c>
    </row>
    <row r="790" spans="1:24" ht="25.5" hidden="1">
      <c r="A790" s="74" t="s">
        <v>1578</v>
      </c>
      <c r="B790" s="75"/>
      <c r="C790" s="75"/>
      <c r="D790" s="75"/>
      <c r="E790" s="75"/>
      <c r="F790" s="318"/>
      <c r="G790" s="407"/>
      <c r="H790" s="75"/>
      <c r="I790" s="412"/>
      <c r="J790" s="420"/>
      <c r="K790" s="75"/>
      <c r="L790" s="75"/>
      <c r="M790" s="75"/>
      <c r="N790" s="75"/>
      <c r="O790" s="102"/>
      <c r="P790" s="79"/>
      <c r="Q790" s="79"/>
      <c r="R790" s="79">
        <v>45</v>
      </c>
      <c r="S790" s="62" t="s">
        <v>1580</v>
      </c>
      <c r="T790" s="99" t="s">
        <v>550</v>
      </c>
      <c r="U790" s="63" t="s">
        <v>1581</v>
      </c>
      <c r="V790" s="79" t="s">
        <v>731</v>
      </c>
      <c r="W790" s="87" t="s">
        <v>437</v>
      </c>
      <c r="X790" s="87" t="s">
        <v>437</v>
      </c>
    </row>
    <row r="791" spans="1:24" hidden="1">
      <c r="A791" s="74" t="s">
        <v>1582</v>
      </c>
      <c r="B791" s="75"/>
      <c r="C791" s="75"/>
      <c r="D791" s="75"/>
      <c r="E791" s="75"/>
      <c r="F791" s="318"/>
      <c r="G791" s="407"/>
      <c r="H791" s="75"/>
      <c r="I791" s="412"/>
      <c r="J791" s="420"/>
      <c r="K791" s="75"/>
      <c r="L791" s="75"/>
      <c r="M791" s="75"/>
      <c r="N791" s="75"/>
      <c r="O791" s="102"/>
      <c r="P791" s="79"/>
      <c r="Q791" s="79"/>
      <c r="R791" s="79">
        <v>36</v>
      </c>
      <c r="S791" s="62" t="s">
        <v>488</v>
      </c>
      <c r="T791" s="99" t="s">
        <v>113</v>
      </c>
      <c r="U791" s="63" t="s">
        <v>1583</v>
      </c>
      <c r="V791" s="79" t="s">
        <v>731</v>
      </c>
      <c r="W791" s="87" t="s">
        <v>437</v>
      </c>
      <c r="X791" s="87" t="s">
        <v>437</v>
      </c>
    </row>
    <row r="792" spans="1:24" hidden="1">
      <c r="A792" s="74" t="s">
        <v>1582</v>
      </c>
      <c r="B792" s="75"/>
      <c r="C792" s="75"/>
      <c r="D792" s="75"/>
      <c r="E792" s="75"/>
      <c r="F792" s="318"/>
      <c r="G792" s="407"/>
      <c r="H792" s="75"/>
      <c r="I792" s="412"/>
      <c r="J792" s="420"/>
      <c r="K792" s="75"/>
      <c r="L792" s="75"/>
      <c r="M792" s="75"/>
      <c r="N792" s="75"/>
      <c r="O792" s="102"/>
      <c r="P792" s="79"/>
      <c r="Q792" s="79"/>
      <c r="R792" s="79">
        <v>42</v>
      </c>
      <c r="S792" s="62" t="s">
        <v>488</v>
      </c>
      <c r="T792" s="99" t="s">
        <v>113</v>
      </c>
      <c r="U792" s="63" t="s">
        <v>1584</v>
      </c>
      <c r="V792" s="79" t="s">
        <v>731</v>
      </c>
      <c r="W792" s="87" t="s">
        <v>437</v>
      </c>
      <c r="X792" s="87" t="s">
        <v>437</v>
      </c>
    </row>
    <row r="793" spans="1:24" hidden="1">
      <c r="A793" s="74" t="s">
        <v>1585</v>
      </c>
      <c r="B793" s="75"/>
      <c r="C793" s="75"/>
      <c r="D793" s="75"/>
      <c r="E793" s="75"/>
      <c r="F793" s="318"/>
      <c r="G793" s="407"/>
      <c r="H793" s="75"/>
      <c r="I793" s="412"/>
      <c r="J793" s="420"/>
      <c r="K793" s="75"/>
      <c r="L793" s="75"/>
      <c r="M793" s="75"/>
      <c r="N793" s="75"/>
      <c r="O793" s="102"/>
      <c r="P793" s="79"/>
      <c r="Q793" s="79"/>
      <c r="R793" s="79">
        <v>39</v>
      </c>
      <c r="S793" s="62" t="s">
        <v>492</v>
      </c>
      <c r="T793" s="99" t="s">
        <v>113</v>
      </c>
      <c r="U793" s="63" t="s">
        <v>1586</v>
      </c>
      <c r="V793" s="79" t="s">
        <v>731</v>
      </c>
      <c r="W793" s="87" t="s">
        <v>437</v>
      </c>
      <c r="X793" s="87" t="s">
        <v>437</v>
      </c>
    </row>
    <row r="794" spans="1:24" ht="25.5" hidden="1">
      <c r="A794" s="74" t="s">
        <v>1587</v>
      </c>
      <c r="B794" s="75"/>
      <c r="C794" s="75"/>
      <c r="D794" s="75"/>
      <c r="E794" s="75"/>
      <c r="F794" s="318"/>
      <c r="G794" s="407"/>
      <c r="H794" s="75"/>
      <c r="I794" s="412"/>
      <c r="J794" s="420"/>
      <c r="K794" s="75"/>
      <c r="L794" s="75"/>
      <c r="M794" s="75"/>
      <c r="N794" s="75"/>
      <c r="O794" s="102"/>
      <c r="P794" s="79"/>
      <c r="Q794" s="79"/>
      <c r="R794" s="79">
        <v>67</v>
      </c>
      <c r="S794" s="62" t="s">
        <v>492</v>
      </c>
      <c r="T794" s="99" t="s">
        <v>113</v>
      </c>
      <c r="U794" s="63" t="s">
        <v>1588</v>
      </c>
      <c r="V794" s="79" t="s">
        <v>731</v>
      </c>
      <c r="W794" s="87" t="s">
        <v>437</v>
      </c>
      <c r="X794" s="87" t="s">
        <v>437</v>
      </c>
    </row>
    <row r="795" spans="1:24" ht="25.5" hidden="1">
      <c r="A795" s="74" t="s">
        <v>1589</v>
      </c>
      <c r="B795" s="75"/>
      <c r="C795" s="75"/>
      <c r="D795" s="75"/>
      <c r="E795" s="75"/>
      <c r="F795" s="318"/>
      <c r="G795" s="407"/>
      <c r="H795" s="75"/>
      <c r="I795" s="412"/>
      <c r="J795" s="420"/>
      <c r="K795" s="75"/>
      <c r="L795" s="75"/>
      <c r="M795" s="75"/>
      <c r="N795" s="75"/>
      <c r="O795" s="102"/>
      <c r="P795" s="79"/>
      <c r="Q795" s="79"/>
      <c r="R795" s="79">
        <v>68</v>
      </c>
      <c r="S795" s="62" t="s">
        <v>492</v>
      </c>
      <c r="T795" s="99" t="s">
        <v>113</v>
      </c>
      <c r="U795" s="63" t="s">
        <v>1590</v>
      </c>
      <c r="V795" s="79" t="s">
        <v>731</v>
      </c>
      <c r="W795" s="87" t="s">
        <v>437</v>
      </c>
      <c r="X795" s="87" t="s">
        <v>437</v>
      </c>
    </row>
    <row r="796" spans="1:24" hidden="1">
      <c r="A796" s="74" t="s">
        <v>1591</v>
      </c>
      <c r="B796" s="75"/>
      <c r="C796" s="75"/>
      <c r="D796" s="75"/>
      <c r="E796" s="75"/>
      <c r="F796" s="318"/>
      <c r="G796" s="407"/>
      <c r="H796" s="75"/>
      <c r="I796" s="412"/>
      <c r="J796" s="420"/>
      <c r="K796" s="75"/>
      <c r="L796" s="75"/>
      <c r="M796" s="75"/>
      <c r="N796" s="75"/>
      <c r="O796" s="102"/>
      <c r="P796" s="79"/>
      <c r="Q796" s="79"/>
      <c r="R796" s="79">
        <v>68</v>
      </c>
      <c r="S796" s="62" t="s">
        <v>492</v>
      </c>
      <c r="T796" s="99" t="s">
        <v>113</v>
      </c>
      <c r="U796" s="63" t="s">
        <v>1592</v>
      </c>
      <c r="V796" s="79" t="s">
        <v>731</v>
      </c>
      <c r="W796" s="87" t="s">
        <v>437</v>
      </c>
      <c r="X796" s="87" t="s">
        <v>437</v>
      </c>
    </row>
    <row r="797" spans="1:24" hidden="1">
      <c r="A797" s="110"/>
      <c r="B797" s="111"/>
      <c r="C797" s="111"/>
      <c r="D797" s="111"/>
      <c r="E797" s="111"/>
      <c r="F797" s="318"/>
      <c r="G797" s="407"/>
      <c r="H797" s="111"/>
      <c r="I797" s="412"/>
      <c r="J797" s="420"/>
      <c r="K797" s="111"/>
      <c r="L797" s="111"/>
      <c r="M797" s="111"/>
      <c r="N797" s="111"/>
      <c r="O797" s="102"/>
      <c r="P797" s="79"/>
      <c r="Q797" s="79"/>
      <c r="R797" s="79"/>
      <c r="S797" s="116"/>
      <c r="T797" s="104"/>
      <c r="U797" s="79"/>
      <c r="V797" s="79"/>
      <c r="X797" s="87"/>
    </row>
    <row r="798" spans="1:24" ht="25.5" hidden="1">
      <c r="A798" s="91" t="s">
        <v>1593</v>
      </c>
      <c r="B798" s="75"/>
      <c r="C798" s="75"/>
      <c r="D798" s="75"/>
      <c r="E798" s="75"/>
      <c r="F798" s="318"/>
      <c r="G798" s="407"/>
      <c r="H798" s="75"/>
      <c r="I798" s="412"/>
      <c r="J798" s="420"/>
      <c r="K798" s="75"/>
      <c r="L798" s="75"/>
      <c r="M798" s="75"/>
      <c r="N798" s="75"/>
      <c r="O798" s="102"/>
      <c r="P798" s="79"/>
      <c r="Q798" s="79"/>
      <c r="R798" s="79">
        <v>37</v>
      </c>
      <c r="S798" s="62" t="s">
        <v>1594</v>
      </c>
      <c r="T798" s="81" t="s">
        <v>113</v>
      </c>
      <c r="U798" s="79" t="s">
        <v>1595</v>
      </c>
      <c r="V798" s="79" t="s">
        <v>731</v>
      </c>
      <c r="W798" s="87" t="s">
        <v>103</v>
      </c>
      <c r="X798" s="87" t="s">
        <v>104</v>
      </c>
    </row>
    <row r="799" spans="1:24" hidden="1">
      <c r="A799" s="91" t="s">
        <v>1596</v>
      </c>
      <c r="B799" s="75"/>
      <c r="C799" s="75"/>
      <c r="D799" s="75"/>
      <c r="E799" s="75"/>
      <c r="F799" s="318"/>
      <c r="G799" s="407"/>
      <c r="H799" s="75"/>
      <c r="I799" s="412"/>
      <c r="J799" s="420"/>
      <c r="K799" s="75"/>
      <c r="L799" s="75"/>
      <c r="M799" s="75"/>
      <c r="N799" s="75"/>
      <c r="O799" s="102"/>
      <c r="P799" s="79"/>
      <c r="Q799" s="79"/>
      <c r="R799" s="79">
        <v>42</v>
      </c>
      <c r="S799" s="62" t="s">
        <v>1597</v>
      </c>
      <c r="T799" s="81" t="s">
        <v>113</v>
      </c>
      <c r="U799" s="79" t="s">
        <v>1598</v>
      </c>
      <c r="V799" s="79" t="s">
        <v>731</v>
      </c>
      <c r="W799" s="87" t="s">
        <v>103</v>
      </c>
      <c r="X799" s="87" t="s">
        <v>104</v>
      </c>
    </row>
    <row r="800" spans="1:24" hidden="1">
      <c r="A800" s="91" t="s">
        <v>1599</v>
      </c>
      <c r="B800" s="75"/>
      <c r="C800" s="75"/>
      <c r="D800" s="75"/>
      <c r="E800" s="75"/>
      <c r="F800" s="318"/>
      <c r="G800" s="407"/>
      <c r="H800" s="75"/>
      <c r="I800" s="412"/>
      <c r="J800" s="420"/>
      <c r="K800" s="75"/>
      <c r="L800" s="75"/>
      <c r="M800" s="75"/>
      <c r="N800" s="75"/>
      <c r="O800" s="102"/>
      <c r="P800" s="79"/>
      <c r="Q800" s="79"/>
      <c r="R800" s="79">
        <v>30</v>
      </c>
      <c r="S800" s="62" t="s">
        <v>1597</v>
      </c>
      <c r="T800" s="81" t="s">
        <v>113</v>
      </c>
      <c r="U800" s="79" t="s">
        <v>1600</v>
      </c>
      <c r="V800" s="79" t="s">
        <v>731</v>
      </c>
      <c r="W800" s="87" t="s">
        <v>103</v>
      </c>
      <c r="X800" s="87" t="s">
        <v>104</v>
      </c>
    </row>
    <row r="801" spans="1:24" hidden="1">
      <c r="A801" s="91" t="s">
        <v>1601</v>
      </c>
      <c r="B801" s="75"/>
      <c r="C801" s="75"/>
      <c r="D801" s="75"/>
      <c r="E801" s="75"/>
      <c r="F801" s="318"/>
      <c r="G801" s="407"/>
      <c r="H801" s="75"/>
      <c r="I801" s="412"/>
      <c r="J801" s="420"/>
      <c r="K801" s="75"/>
      <c r="L801" s="75"/>
      <c r="M801" s="75"/>
      <c r="N801" s="75"/>
      <c r="O801" s="102"/>
      <c r="P801" s="79"/>
      <c r="Q801" s="79"/>
      <c r="R801" s="79">
        <v>42</v>
      </c>
      <c r="S801" s="62" t="s">
        <v>1597</v>
      </c>
      <c r="T801" s="81" t="s">
        <v>113</v>
      </c>
      <c r="U801" s="79" t="s">
        <v>1602</v>
      </c>
      <c r="V801" s="79" t="s">
        <v>731</v>
      </c>
      <c r="W801" s="87" t="s">
        <v>103</v>
      </c>
      <c r="X801" s="87" t="s">
        <v>104</v>
      </c>
    </row>
    <row r="802" spans="1:24" ht="25.5" hidden="1">
      <c r="A802" s="91" t="s">
        <v>1603</v>
      </c>
      <c r="B802" s="75"/>
      <c r="C802" s="75"/>
      <c r="D802" s="75"/>
      <c r="E802" s="75"/>
      <c r="F802" s="318"/>
      <c r="G802" s="407"/>
      <c r="H802" s="75"/>
      <c r="I802" s="412"/>
      <c r="J802" s="420"/>
      <c r="K802" s="75"/>
      <c r="L802" s="75"/>
      <c r="M802" s="75"/>
      <c r="N802" s="75"/>
      <c r="O802" s="102"/>
      <c r="P802" s="79"/>
      <c r="Q802" s="79"/>
      <c r="R802" s="79">
        <v>44</v>
      </c>
      <c r="S802" s="62" t="s">
        <v>1597</v>
      </c>
      <c r="T802" s="81" t="s">
        <v>113</v>
      </c>
      <c r="U802" s="79" t="s">
        <v>1604</v>
      </c>
      <c r="V802" s="79" t="s">
        <v>731</v>
      </c>
      <c r="W802" s="87" t="s">
        <v>103</v>
      </c>
      <c r="X802" s="87" t="s">
        <v>104</v>
      </c>
    </row>
    <row r="803" spans="1:24" hidden="1">
      <c r="A803" s="91" t="s">
        <v>1605</v>
      </c>
      <c r="B803" s="75"/>
      <c r="C803" s="75"/>
      <c r="D803" s="75"/>
      <c r="E803" s="75"/>
      <c r="F803" s="318"/>
      <c r="G803" s="407"/>
      <c r="H803" s="75"/>
      <c r="I803" s="412"/>
      <c r="J803" s="420"/>
      <c r="K803" s="75"/>
      <c r="L803" s="75"/>
      <c r="M803" s="75"/>
      <c r="N803" s="75"/>
      <c r="O803" s="102"/>
      <c r="P803" s="79"/>
      <c r="Q803" s="79"/>
      <c r="R803" s="79">
        <v>44</v>
      </c>
      <c r="S803" s="62" t="s">
        <v>1597</v>
      </c>
      <c r="T803" s="81" t="s">
        <v>113</v>
      </c>
      <c r="U803" s="79" t="s">
        <v>1606</v>
      </c>
      <c r="V803" s="79" t="s">
        <v>731</v>
      </c>
      <c r="W803" s="87" t="s">
        <v>103</v>
      </c>
      <c r="X803" s="87" t="s">
        <v>104</v>
      </c>
    </row>
    <row r="804" spans="1:24" ht="25.5" hidden="1">
      <c r="A804" s="91" t="s">
        <v>1607</v>
      </c>
      <c r="B804" s="75"/>
      <c r="C804" s="75"/>
      <c r="D804" s="75"/>
      <c r="E804" s="75"/>
      <c r="F804" s="318"/>
      <c r="G804" s="407"/>
      <c r="H804" s="75"/>
      <c r="I804" s="412"/>
      <c r="J804" s="420"/>
      <c r="K804" s="75"/>
      <c r="L804" s="75"/>
      <c r="M804" s="75"/>
      <c r="N804" s="75"/>
      <c r="O804" s="102"/>
      <c r="P804" s="79"/>
      <c r="Q804" s="79"/>
      <c r="R804" s="79">
        <v>38</v>
      </c>
      <c r="S804" s="62" t="s">
        <v>1597</v>
      </c>
      <c r="T804" s="81" t="s">
        <v>113</v>
      </c>
      <c r="U804" s="79" t="s">
        <v>1608</v>
      </c>
      <c r="V804" s="79" t="s">
        <v>731</v>
      </c>
      <c r="W804" s="87" t="s">
        <v>103</v>
      </c>
      <c r="X804" s="87" t="s">
        <v>104</v>
      </c>
    </row>
    <row r="805" spans="1:24" hidden="1">
      <c r="A805" s="91" t="s">
        <v>1609</v>
      </c>
      <c r="B805" s="75"/>
      <c r="C805" s="75"/>
      <c r="D805" s="75"/>
      <c r="E805" s="75"/>
      <c r="F805" s="318"/>
      <c r="G805" s="407"/>
      <c r="H805" s="75"/>
      <c r="I805" s="412"/>
      <c r="J805" s="420"/>
      <c r="K805" s="75"/>
      <c r="L805" s="75"/>
      <c r="M805" s="75"/>
      <c r="N805" s="75"/>
      <c r="O805" s="102"/>
      <c r="P805" s="79"/>
      <c r="Q805" s="79"/>
      <c r="R805" s="79">
        <v>39</v>
      </c>
      <c r="S805" s="62" t="s">
        <v>1597</v>
      </c>
      <c r="T805" s="81" t="s">
        <v>113</v>
      </c>
      <c r="U805" s="79" t="s">
        <v>1610</v>
      </c>
      <c r="V805" s="79" t="s">
        <v>731</v>
      </c>
      <c r="W805" s="87" t="s">
        <v>103</v>
      </c>
      <c r="X805" s="87" t="s">
        <v>104</v>
      </c>
    </row>
    <row r="806" spans="1:24" hidden="1">
      <c r="A806" s="91" t="s">
        <v>1611</v>
      </c>
      <c r="B806" s="75"/>
      <c r="C806" s="75"/>
      <c r="D806" s="75"/>
      <c r="E806" s="75"/>
      <c r="F806" s="318"/>
      <c r="G806" s="407"/>
      <c r="H806" s="75"/>
      <c r="I806" s="412"/>
      <c r="J806" s="420"/>
      <c r="K806" s="75"/>
      <c r="L806" s="75"/>
      <c r="M806" s="75"/>
      <c r="N806" s="75"/>
      <c r="O806" s="102"/>
      <c r="P806" s="79"/>
      <c r="Q806" s="79"/>
      <c r="R806" s="79">
        <v>42</v>
      </c>
      <c r="S806" s="62" t="s">
        <v>1597</v>
      </c>
      <c r="T806" s="81" t="s">
        <v>113</v>
      </c>
      <c r="U806" s="79" t="s">
        <v>1612</v>
      </c>
      <c r="V806" s="79" t="s">
        <v>731</v>
      </c>
      <c r="W806" s="87" t="s">
        <v>103</v>
      </c>
      <c r="X806" s="87" t="s">
        <v>104</v>
      </c>
    </row>
    <row r="807" spans="1:24" hidden="1">
      <c r="A807" s="91" t="s">
        <v>1613</v>
      </c>
      <c r="B807" s="75"/>
      <c r="C807" s="75"/>
      <c r="D807" s="75"/>
      <c r="E807" s="75"/>
      <c r="F807" s="318"/>
      <c r="G807" s="407"/>
      <c r="H807" s="75"/>
      <c r="I807" s="412"/>
      <c r="J807" s="420"/>
      <c r="K807" s="75"/>
      <c r="L807" s="75"/>
      <c r="M807" s="75"/>
      <c r="N807" s="75"/>
      <c r="O807" s="102"/>
      <c r="P807" s="79"/>
      <c r="Q807" s="79"/>
      <c r="R807" s="79">
        <v>40</v>
      </c>
      <c r="S807" s="62" t="s">
        <v>1597</v>
      </c>
      <c r="T807" s="81" t="s">
        <v>113</v>
      </c>
      <c r="U807" s="79" t="s">
        <v>1614</v>
      </c>
      <c r="V807" s="79" t="s">
        <v>731</v>
      </c>
      <c r="W807" s="87" t="s">
        <v>103</v>
      </c>
      <c r="X807" s="87" t="s">
        <v>104</v>
      </c>
    </row>
    <row r="808" spans="1:24" hidden="1">
      <c r="A808" s="91" t="s">
        <v>1615</v>
      </c>
      <c r="B808" s="75"/>
      <c r="C808" s="75"/>
      <c r="D808" s="75"/>
      <c r="E808" s="75"/>
      <c r="F808" s="318"/>
      <c r="G808" s="407"/>
      <c r="H808" s="75"/>
      <c r="I808" s="412"/>
      <c r="J808" s="420"/>
      <c r="K808" s="75"/>
      <c r="L808" s="75"/>
      <c r="M808" s="75"/>
      <c r="N808" s="75"/>
      <c r="O808" s="102"/>
      <c r="P808" s="79"/>
      <c r="Q808" s="79"/>
      <c r="R808" s="79">
        <v>40</v>
      </c>
      <c r="S808" s="62" t="s">
        <v>1597</v>
      </c>
      <c r="T808" s="81" t="s">
        <v>113</v>
      </c>
      <c r="U808" s="79" t="s">
        <v>1616</v>
      </c>
      <c r="V808" s="79" t="s">
        <v>731</v>
      </c>
      <c r="W808" s="87" t="s">
        <v>103</v>
      </c>
      <c r="X808" s="87" t="s">
        <v>104</v>
      </c>
    </row>
    <row r="809" spans="1:24" hidden="1">
      <c r="A809" s="91" t="s">
        <v>1617</v>
      </c>
      <c r="B809" s="75"/>
      <c r="C809" s="75"/>
      <c r="D809" s="75"/>
      <c r="E809" s="75"/>
      <c r="F809" s="318"/>
      <c r="G809" s="407"/>
      <c r="H809" s="75"/>
      <c r="I809" s="412"/>
      <c r="J809" s="420"/>
      <c r="K809" s="75"/>
      <c r="L809" s="75"/>
      <c r="M809" s="75"/>
      <c r="N809" s="75"/>
      <c r="O809" s="102"/>
      <c r="P809" s="79"/>
      <c r="Q809" s="79"/>
      <c r="R809" s="79">
        <v>36</v>
      </c>
      <c r="S809" s="62" t="s">
        <v>1597</v>
      </c>
      <c r="T809" s="81" t="s">
        <v>113</v>
      </c>
      <c r="U809" s="79" t="s">
        <v>1618</v>
      </c>
      <c r="V809" s="79" t="s">
        <v>731</v>
      </c>
      <c r="W809" s="87" t="s">
        <v>103</v>
      </c>
      <c r="X809" s="87" t="s">
        <v>104</v>
      </c>
    </row>
    <row r="810" spans="1:24" ht="25.5" hidden="1">
      <c r="A810" s="91" t="s">
        <v>1619</v>
      </c>
      <c r="B810" s="75"/>
      <c r="C810" s="75"/>
      <c r="D810" s="75"/>
      <c r="E810" s="75"/>
      <c r="F810" s="318"/>
      <c r="G810" s="407"/>
      <c r="H810" s="75"/>
      <c r="I810" s="412"/>
      <c r="J810" s="420"/>
      <c r="K810" s="75"/>
      <c r="L810" s="75"/>
      <c r="M810" s="75"/>
      <c r="N810" s="75"/>
      <c r="O810" s="102"/>
      <c r="P810" s="79"/>
      <c r="Q810" s="79"/>
      <c r="R810" s="79">
        <v>38</v>
      </c>
      <c r="S810" s="62" t="s">
        <v>1597</v>
      </c>
      <c r="T810" s="81" t="s">
        <v>113</v>
      </c>
      <c r="U810" s="79" t="s">
        <v>1620</v>
      </c>
      <c r="V810" s="79" t="s">
        <v>731</v>
      </c>
      <c r="W810" s="87" t="s">
        <v>103</v>
      </c>
      <c r="X810" s="87" t="s">
        <v>104</v>
      </c>
    </row>
    <row r="811" spans="1:24" ht="25.5" hidden="1">
      <c r="A811" s="91" t="s">
        <v>1621</v>
      </c>
      <c r="B811" s="75"/>
      <c r="C811" s="75"/>
      <c r="D811" s="75"/>
      <c r="E811" s="75"/>
      <c r="F811" s="318"/>
      <c r="G811" s="407"/>
      <c r="H811" s="75"/>
      <c r="I811" s="412"/>
      <c r="J811" s="420"/>
      <c r="K811" s="75"/>
      <c r="L811" s="75"/>
      <c r="M811" s="75"/>
      <c r="N811" s="75"/>
      <c r="O811" s="102"/>
      <c r="P811" s="79"/>
      <c r="Q811" s="79"/>
      <c r="R811" s="79">
        <v>43</v>
      </c>
      <c r="S811" s="62" t="s">
        <v>1622</v>
      </c>
      <c r="T811" s="81" t="s">
        <v>1623</v>
      </c>
      <c r="U811" s="79" t="s">
        <v>1624</v>
      </c>
      <c r="V811" s="79" t="s">
        <v>731</v>
      </c>
      <c r="W811" s="87" t="s">
        <v>103</v>
      </c>
      <c r="X811" s="87" t="s">
        <v>104</v>
      </c>
    </row>
    <row r="812" spans="1:24" ht="25.5" hidden="1">
      <c r="A812" s="91" t="s">
        <v>1625</v>
      </c>
      <c r="B812" s="75"/>
      <c r="C812" s="75"/>
      <c r="D812" s="75"/>
      <c r="E812" s="75"/>
      <c r="F812" s="318"/>
      <c r="G812" s="407"/>
      <c r="H812" s="75"/>
      <c r="I812" s="412"/>
      <c r="J812" s="420"/>
      <c r="K812" s="75"/>
      <c r="L812" s="75"/>
      <c r="M812" s="75"/>
      <c r="N812" s="75"/>
      <c r="O812" s="102"/>
      <c r="P812" s="79"/>
      <c r="Q812" s="79"/>
      <c r="R812" s="79">
        <v>36</v>
      </c>
      <c r="S812" s="62" t="s">
        <v>1626</v>
      </c>
      <c r="T812" s="81" t="s">
        <v>1627</v>
      </c>
      <c r="U812" s="79" t="s">
        <v>1628</v>
      </c>
      <c r="V812" s="79" t="s">
        <v>731</v>
      </c>
      <c r="W812" s="87" t="s">
        <v>103</v>
      </c>
      <c r="X812" s="87" t="s">
        <v>104</v>
      </c>
    </row>
    <row r="813" spans="1:24" hidden="1">
      <c r="A813" s="91" t="s">
        <v>1629</v>
      </c>
      <c r="B813" s="75"/>
      <c r="C813" s="75"/>
      <c r="D813" s="75"/>
      <c r="E813" s="75"/>
      <c r="F813" s="318"/>
      <c r="G813" s="407"/>
      <c r="H813" s="75"/>
      <c r="I813" s="412"/>
      <c r="J813" s="420"/>
      <c r="K813" s="75"/>
      <c r="L813" s="75"/>
      <c r="M813" s="75"/>
      <c r="N813" s="75"/>
      <c r="O813" s="102"/>
      <c r="P813" s="79"/>
      <c r="Q813" s="79"/>
      <c r="R813" s="79">
        <v>40</v>
      </c>
      <c r="S813" s="62" t="s">
        <v>1626</v>
      </c>
      <c r="T813" s="81" t="s">
        <v>1627</v>
      </c>
      <c r="U813" s="79" t="s">
        <v>1630</v>
      </c>
      <c r="V813" s="79" t="s">
        <v>731</v>
      </c>
      <c r="W813" s="87" t="s">
        <v>103</v>
      </c>
      <c r="X813" s="87" t="s">
        <v>104</v>
      </c>
    </row>
    <row r="814" spans="1:24" hidden="1">
      <c r="A814" s="91" t="s">
        <v>1631</v>
      </c>
      <c r="B814" s="75"/>
      <c r="C814" s="75"/>
      <c r="D814" s="75"/>
      <c r="E814" s="75"/>
      <c r="F814" s="318"/>
      <c r="G814" s="407"/>
      <c r="H814" s="75"/>
      <c r="I814" s="412"/>
      <c r="J814" s="420"/>
      <c r="K814" s="75"/>
      <c r="L814" s="75"/>
      <c r="M814" s="75"/>
      <c r="N814" s="75"/>
      <c r="O814" s="102"/>
      <c r="P814" s="79"/>
      <c r="Q814" s="79"/>
      <c r="R814" s="79">
        <v>41</v>
      </c>
      <c r="S814" s="62" t="s">
        <v>1626</v>
      </c>
      <c r="T814" s="81" t="s">
        <v>285</v>
      </c>
      <c r="U814" s="79" t="s">
        <v>1632</v>
      </c>
      <c r="V814" s="79" t="s">
        <v>731</v>
      </c>
      <c r="W814" s="87" t="s">
        <v>103</v>
      </c>
      <c r="X814" s="87" t="s">
        <v>104</v>
      </c>
    </row>
    <row r="815" spans="1:24" hidden="1">
      <c r="A815" s="91" t="s">
        <v>1633</v>
      </c>
      <c r="B815" s="75"/>
      <c r="C815" s="75"/>
      <c r="D815" s="75"/>
      <c r="E815" s="75"/>
      <c r="F815" s="318"/>
      <c r="G815" s="407"/>
      <c r="H815" s="75"/>
      <c r="I815" s="412"/>
      <c r="J815" s="420"/>
      <c r="K815" s="75"/>
      <c r="L815" s="75"/>
      <c r="M815" s="75"/>
      <c r="N815" s="75"/>
      <c r="O815" s="102"/>
      <c r="P815" s="79"/>
      <c r="Q815" s="79"/>
      <c r="R815" s="79">
        <v>42</v>
      </c>
      <c r="S815" s="62" t="s">
        <v>1634</v>
      </c>
      <c r="T815" s="81" t="s">
        <v>285</v>
      </c>
      <c r="U815" s="79" t="s">
        <v>1635</v>
      </c>
      <c r="V815" s="79" t="s">
        <v>731</v>
      </c>
      <c r="W815" s="87" t="s">
        <v>103</v>
      </c>
      <c r="X815" s="87" t="s">
        <v>104</v>
      </c>
    </row>
    <row r="816" spans="1:24" hidden="1">
      <c r="A816" s="91" t="s">
        <v>1636</v>
      </c>
      <c r="B816" s="75"/>
      <c r="C816" s="75"/>
      <c r="D816" s="75"/>
      <c r="E816" s="75"/>
      <c r="F816" s="318"/>
      <c r="G816" s="407"/>
      <c r="H816" s="75"/>
      <c r="I816" s="412"/>
      <c r="J816" s="420"/>
      <c r="K816" s="75"/>
      <c r="L816" s="75"/>
      <c r="M816" s="75"/>
      <c r="N816" s="75"/>
      <c r="O816" s="102"/>
      <c r="P816" s="79"/>
      <c r="Q816" s="79"/>
      <c r="R816" s="79">
        <v>34</v>
      </c>
      <c r="S816" s="62" t="s">
        <v>1634</v>
      </c>
      <c r="T816" s="81" t="s">
        <v>285</v>
      </c>
      <c r="U816" s="79" t="s">
        <v>1637</v>
      </c>
      <c r="V816" s="79" t="s">
        <v>731</v>
      </c>
      <c r="W816" s="87" t="s">
        <v>103</v>
      </c>
      <c r="X816" s="87" t="s">
        <v>104</v>
      </c>
    </row>
    <row r="817" spans="1:24" hidden="1">
      <c r="A817" s="91" t="s">
        <v>1636</v>
      </c>
      <c r="B817" s="75"/>
      <c r="C817" s="75"/>
      <c r="D817" s="75"/>
      <c r="E817" s="75"/>
      <c r="F817" s="318"/>
      <c r="G817" s="407"/>
      <c r="H817" s="75"/>
      <c r="I817" s="412"/>
      <c r="J817" s="420"/>
      <c r="K817" s="75"/>
      <c r="L817" s="75"/>
      <c r="M817" s="75"/>
      <c r="N817" s="75"/>
      <c r="O817" s="102"/>
      <c r="P817" s="79"/>
      <c r="Q817" s="79"/>
      <c r="R817" s="79">
        <v>42</v>
      </c>
      <c r="S817" s="62" t="s">
        <v>1634</v>
      </c>
      <c r="T817" s="81" t="s">
        <v>285</v>
      </c>
      <c r="U817" s="79" t="s">
        <v>1638</v>
      </c>
      <c r="V817" s="79" t="s">
        <v>731</v>
      </c>
      <c r="W817" s="87" t="s">
        <v>103</v>
      </c>
      <c r="X817" s="87" t="s">
        <v>104</v>
      </c>
    </row>
    <row r="818" spans="1:24" ht="25.5" hidden="1">
      <c r="A818" s="91" t="s">
        <v>1639</v>
      </c>
      <c r="B818" s="75"/>
      <c r="C818" s="75"/>
      <c r="D818" s="75"/>
      <c r="E818" s="75"/>
      <c r="F818" s="318"/>
      <c r="G818" s="407"/>
      <c r="H818" s="75"/>
      <c r="I818" s="412"/>
      <c r="J818" s="420"/>
      <c r="K818" s="75"/>
      <c r="L818" s="75"/>
      <c r="M818" s="75"/>
      <c r="N818" s="75"/>
      <c r="O818" s="102"/>
      <c r="P818" s="79"/>
      <c r="Q818" s="79"/>
      <c r="R818" s="79">
        <v>44</v>
      </c>
      <c r="S818" s="62" t="s">
        <v>1640</v>
      </c>
      <c r="T818" s="81" t="s">
        <v>285</v>
      </c>
      <c r="U818" s="79" t="s">
        <v>1641</v>
      </c>
      <c r="V818" s="79" t="s">
        <v>731</v>
      </c>
      <c r="W818" s="87" t="s">
        <v>103</v>
      </c>
      <c r="X818" s="87" t="s">
        <v>104</v>
      </c>
    </row>
    <row r="819" spans="1:24" ht="25.5" hidden="1">
      <c r="A819" s="91" t="s">
        <v>1642</v>
      </c>
      <c r="B819" s="75"/>
      <c r="C819" s="75"/>
      <c r="D819" s="75"/>
      <c r="E819" s="75"/>
      <c r="F819" s="318"/>
      <c r="G819" s="407"/>
      <c r="H819" s="75"/>
      <c r="I819" s="412"/>
      <c r="J819" s="420"/>
      <c r="K819" s="75"/>
      <c r="L819" s="75"/>
      <c r="M819" s="75"/>
      <c r="N819" s="75"/>
      <c r="O819" s="102"/>
      <c r="P819" s="79"/>
      <c r="Q819" s="79"/>
      <c r="R819" s="79">
        <v>40</v>
      </c>
      <c r="S819" s="62" t="s">
        <v>393</v>
      </c>
      <c r="T819" s="81" t="s">
        <v>113</v>
      </c>
      <c r="U819" s="79" t="s">
        <v>1643</v>
      </c>
      <c r="V819" s="79" t="s">
        <v>731</v>
      </c>
      <c r="W819" s="87" t="s">
        <v>103</v>
      </c>
      <c r="X819" s="87" t="s">
        <v>104</v>
      </c>
    </row>
    <row r="820" spans="1:24" hidden="1">
      <c r="A820" s="91" t="s">
        <v>1644</v>
      </c>
      <c r="B820" s="75"/>
      <c r="C820" s="75"/>
      <c r="D820" s="75"/>
      <c r="E820" s="75"/>
      <c r="F820" s="318"/>
      <c r="G820" s="407"/>
      <c r="H820" s="75"/>
      <c r="I820" s="412"/>
      <c r="J820" s="420"/>
      <c r="K820" s="75"/>
      <c r="L820" s="75"/>
      <c r="M820" s="75"/>
      <c r="N820" s="75"/>
      <c r="O820" s="102"/>
      <c r="P820" s="79"/>
      <c r="Q820" s="79"/>
      <c r="R820" s="79">
        <v>38</v>
      </c>
      <c r="S820" s="62" t="s">
        <v>393</v>
      </c>
      <c r="T820" s="81" t="s">
        <v>113</v>
      </c>
      <c r="U820" s="79" t="s">
        <v>1645</v>
      </c>
      <c r="V820" s="79" t="s">
        <v>731</v>
      </c>
      <c r="W820" s="87" t="s">
        <v>103</v>
      </c>
      <c r="X820" s="87" t="s">
        <v>104</v>
      </c>
    </row>
    <row r="821" spans="1:24" ht="25.5" hidden="1">
      <c r="A821" s="91" t="s">
        <v>1646</v>
      </c>
      <c r="B821" s="75"/>
      <c r="C821" s="75"/>
      <c r="D821" s="75"/>
      <c r="E821" s="75"/>
      <c r="F821" s="318"/>
      <c r="G821" s="407"/>
      <c r="H821" s="75"/>
      <c r="I821" s="412"/>
      <c r="J821" s="420"/>
      <c r="K821" s="75"/>
      <c r="L821" s="75"/>
      <c r="M821" s="75"/>
      <c r="N821" s="75"/>
      <c r="O821" s="102"/>
      <c r="P821" s="79"/>
      <c r="Q821" s="79"/>
      <c r="R821" s="79">
        <v>40</v>
      </c>
      <c r="S821" s="62" t="s">
        <v>393</v>
      </c>
      <c r="T821" s="81" t="s">
        <v>113</v>
      </c>
      <c r="U821" s="79" t="s">
        <v>1647</v>
      </c>
      <c r="V821" s="79" t="s">
        <v>731</v>
      </c>
      <c r="W821" s="87" t="s">
        <v>103</v>
      </c>
      <c r="X821" s="87" t="s">
        <v>104</v>
      </c>
    </row>
    <row r="822" spans="1:24" hidden="1">
      <c r="A822" s="91" t="s">
        <v>1648</v>
      </c>
      <c r="B822" s="75"/>
      <c r="C822" s="75"/>
      <c r="D822" s="75"/>
      <c r="E822" s="75"/>
      <c r="F822" s="318"/>
      <c r="G822" s="407"/>
      <c r="H822" s="75"/>
      <c r="I822" s="412"/>
      <c r="J822" s="420"/>
      <c r="K822" s="75"/>
      <c r="L822" s="75"/>
      <c r="M822" s="75"/>
      <c r="N822" s="75"/>
      <c r="O822" s="102"/>
      <c r="P822" s="79"/>
      <c r="Q822" s="79"/>
      <c r="R822" s="79">
        <v>39</v>
      </c>
      <c r="S822" s="62" t="s">
        <v>393</v>
      </c>
      <c r="T822" s="81" t="s">
        <v>113</v>
      </c>
      <c r="U822" s="79" t="s">
        <v>1649</v>
      </c>
      <c r="V822" s="79" t="s">
        <v>731</v>
      </c>
      <c r="W822" s="87" t="s">
        <v>103</v>
      </c>
      <c r="X822" s="87" t="s">
        <v>104</v>
      </c>
    </row>
    <row r="823" spans="1:24" ht="25.5" hidden="1">
      <c r="A823" s="91" t="s">
        <v>1650</v>
      </c>
      <c r="B823" s="75"/>
      <c r="C823" s="75"/>
      <c r="D823" s="75"/>
      <c r="E823" s="75"/>
      <c r="F823" s="318"/>
      <c r="G823" s="407"/>
      <c r="H823" s="75"/>
      <c r="I823" s="412"/>
      <c r="J823" s="420"/>
      <c r="K823" s="75"/>
      <c r="L823" s="75"/>
      <c r="M823" s="75"/>
      <c r="N823" s="75"/>
      <c r="O823" s="102"/>
      <c r="P823" s="79"/>
      <c r="Q823" s="79"/>
      <c r="R823" s="79">
        <v>42</v>
      </c>
      <c r="S823" s="62" t="s">
        <v>393</v>
      </c>
      <c r="T823" s="81" t="s">
        <v>113</v>
      </c>
      <c r="U823" s="79" t="s">
        <v>1651</v>
      </c>
      <c r="V823" s="79" t="s">
        <v>731</v>
      </c>
      <c r="W823" s="87" t="s">
        <v>103</v>
      </c>
      <c r="X823" s="87" t="s">
        <v>104</v>
      </c>
    </row>
    <row r="824" spans="1:24" hidden="1">
      <c r="A824" s="91" t="s">
        <v>1652</v>
      </c>
      <c r="B824" s="75"/>
      <c r="C824" s="75"/>
      <c r="D824" s="75"/>
      <c r="E824" s="75"/>
      <c r="F824" s="318"/>
      <c r="G824" s="407"/>
      <c r="H824" s="75"/>
      <c r="I824" s="412"/>
      <c r="J824" s="420"/>
      <c r="K824" s="75"/>
      <c r="L824" s="75"/>
      <c r="M824" s="75"/>
      <c r="N824" s="75"/>
      <c r="O824" s="102"/>
      <c r="P824" s="79"/>
      <c r="Q824" s="79"/>
      <c r="R824" s="79">
        <v>43</v>
      </c>
      <c r="S824" s="62" t="s">
        <v>393</v>
      </c>
      <c r="T824" s="81" t="s">
        <v>113</v>
      </c>
      <c r="U824" s="79" t="s">
        <v>1653</v>
      </c>
      <c r="V824" s="79" t="s">
        <v>731</v>
      </c>
      <c r="W824" s="87" t="s">
        <v>103</v>
      </c>
      <c r="X824" s="87" t="s">
        <v>104</v>
      </c>
    </row>
    <row r="825" spans="1:24" hidden="1">
      <c r="A825" s="91" t="s">
        <v>1652</v>
      </c>
      <c r="B825" s="75"/>
      <c r="C825" s="75"/>
      <c r="D825" s="75"/>
      <c r="E825" s="75"/>
      <c r="F825" s="318"/>
      <c r="G825" s="407"/>
      <c r="H825" s="75"/>
      <c r="I825" s="412"/>
      <c r="J825" s="420"/>
      <c r="K825" s="75"/>
      <c r="L825" s="75"/>
      <c r="M825" s="75"/>
      <c r="N825" s="75"/>
      <c r="O825" s="102"/>
      <c r="P825" s="79"/>
      <c r="Q825" s="79"/>
      <c r="R825" s="79">
        <v>32</v>
      </c>
      <c r="S825" s="62" t="s">
        <v>393</v>
      </c>
      <c r="T825" s="81" t="s">
        <v>113</v>
      </c>
      <c r="U825" s="79" t="s">
        <v>1654</v>
      </c>
      <c r="V825" s="79" t="s">
        <v>731</v>
      </c>
      <c r="W825" s="87" t="s">
        <v>103</v>
      </c>
      <c r="X825" s="87" t="s">
        <v>104</v>
      </c>
    </row>
    <row r="826" spans="1:24" hidden="1">
      <c r="A826" s="91" t="s">
        <v>1655</v>
      </c>
      <c r="B826" s="75"/>
      <c r="C826" s="75"/>
      <c r="D826" s="75"/>
      <c r="E826" s="75"/>
      <c r="F826" s="318"/>
      <c r="G826" s="407"/>
      <c r="H826" s="75"/>
      <c r="I826" s="412"/>
      <c r="J826" s="420"/>
      <c r="K826" s="75"/>
      <c r="L826" s="75"/>
      <c r="M826" s="75"/>
      <c r="N826" s="75"/>
      <c r="O826" s="102"/>
      <c r="P826" s="79"/>
      <c r="Q826" s="79"/>
      <c r="R826" s="79">
        <v>41</v>
      </c>
      <c r="S826" s="62" t="s">
        <v>393</v>
      </c>
      <c r="T826" s="81" t="s">
        <v>113</v>
      </c>
      <c r="U826" s="79" t="s">
        <v>1656</v>
      </c>
      <c r="V826" s="79" t="s">
        <v>731</v>
      </c>
      <c r="W826" s="87" t="s">
        <v>103</v>
      </c>
      <c r="X826" s="87" t="s">
        <v>104</v>
      </c>
    </row>
    <row r="827" spans="1:24" hidden="1">
      <c r="A827" s="91" t="s">
        <v>1655</v>
      </c>
      <c r="B827" s="75"/>
      <c r="C827" s="75"/>
      <c r="D827" s="75"/>
      <c r="E827" s="75"/>
      <c r="F827" s="318"/>
      <c r="G827" s="407"/>
      <c r="H827" s="75"/>
      <c r="I827" s="412"/>
      <c r="J827" s="420"/>
      <c r="K827" s="75"/>
      <c r="L827" s="75"/>
      <c r="M827" s="75"/>
      <c r="N827" s="75"/>
      <c r="O827" s="102"/>
      <c r="P827" s="79"/>
      <c r="Q827" s="79"/>
      <c r="R827" s="79">
        <v>37</v>
      </c>
      <c r="S827" s="62" t="s">
        <v>393</v>
      </c>
      <c r="T827" s="81" t="s">
        <v>113</v>
      </c>
      <c r="U827" s="79" t="s">
        <v>1657</v>
      </c>
      <c r="V827" s="79" t="s">
        <v>731</v>
      </c>
      <c r="W827" s="87" t="s">
        <v>103</v>
      </c>
      <c r="X827" s="87" t="s">
        <v>104</v>
      </c>
    </row>
    <row r="828" spans="1:24" ht="25.5" hidden="1">
      <c r="A828" s="91" t="s">
        <v>1658</v>
      </c>
      <c r="B828" s="75"/>
      <c r="C828" s="75"/>
      <c r="D828" s="75"/>
      <c r="E828" s="75"/>
      <c r="F828" s="318"/>
      <c r="G828" s="407"/>
      <c r="H828" s="75"/>
      <c r="I828" s="412"/>
      <c r="J828" s="420"/>
      <c r="K828" s="75"/>
      <c r="L828" s="75"/>
      <c r="M828" s="75"/>
      <c r="N828" s="75"/>
      <c r="O828" s="102"/>
      <c r="P828" s="79"/>
      <c r="Q828" s="79"/>
      <c r="R828" s="79">
        <v>45</v>
      </c>
      <c r="S828" s="62" t="s">
        <v>393</v>
      </c>
      <c r="T828" s="81" t="s">
        <v>113</v>
      </c>
      <c r="U828" s="79" t="s">
        <v>1659</v>
      </c>
      <c r="V828" s="79" t="s">
        <v>731</v>
      </c>
      <c r="W828" s="87" t="s">
        <v>103</v>
      </c>
      <c r="X828" s="87" t="s">
        <v>104</v>
      </c>
    </row>
    <row r="829" spans="1:24" ht="25.5" hidden="1">
      <c r="A829" s="91" t="s">
        <v>1660</v>
      </c>
      <c r="B829" s="75"/>
      <c r="C829" s="75"/>
      <c r="D829" s="75"/>
      <c r="E829" s="75"/>
      <c r="F829" s="318"/>
      <c r="G829" s="407"/>
      <c r="H829" s="75"/>
      <c r="I829" s="412"/>
      <c r="J829" s="420"/>
      <c r="K829" s="75"/>
      <c r="L829" s="75"/>
      <c r="M829" s="75"/>
      <c r="N829" s="75"/>
      <c r="O829" s="102"/>
      <c r="P829" s="79"/>
      <c r="Q829" s="79"/>
      <c r="R829" s="79">
        <v>36</v>
      </c>
      <c r="S829" s="62" t="s">
        <v>1661</v>
      </c>
      <c r="T829" s="81" t="s">
        <v>113</v>
      </c>
      <c r="U829" s="79" t="s">
        <v>1662</v>
      </c>
      <c r="V829" s="79" t="s">
        <v>731</v>
      </c>
      <c r="W829" s="87" t="s">
        <v>103</v>
      </c>
      <c r="X829" s="87" t="s">
        <v>104</v>
      </c>
    </row>
    <row r="830" spans="1:24" ht="25.5" hidden="1">
      <c r="A830" s="91" t="s">
        <v>1663</v>
      </c>
      <c r="B830" s="75"/>
      <c r="C830" s="75"/>
      <c r="D830" s="75"/>
      <c r="E830" s="75"/>
      <c r="F830" s="318"/>
      <c r="G830" s="407"/>
      <c r="H830" s="75"/>
      <c r="I830" s="412"/>
      <c r="J830" s="420"/>
      <c r="K830" s="75"/>
      <c r="L830" s="75"/>
      <c r="M830" s="75"/>
      <c r="N830" s="75"/>
      <c r="O830" s="102"/>
      <c r="P830" s="79"/>
      <c r="Q830" s="79"/>
      <c r="R830" s="79">
        <v>49</v>
      </c>
      <c r="S830" s="62" t="s">
        <v>1664</v>
      </c>
      <c r="T830" s="81" t="s">
        <v>113</v>
      </c>
      <c r="U830" s="79" t="s">
        <v>1665</v>
      </c>
      <c r="V830" s="79" t="s">
        <v>731</v>
      </c>
      <c r="W830" s="87" t="s">
        <v>103</v>
      </c>
      <c r="X830" s="87" t="s">
        <v>104</v>
      </c>
    </row>
    <row r="831" spans="1:24" hidden="1">
      <c r="A831" s="91" t="s">
        <v>1666</v>
      </c>
      <c r="B831" s="75"/>
      <c r="C831" s="75"/>
      <c r="D831" s="75"/>
      <c r="E831" s="75"/>
      <c r="F831" s="318"/>
      <c r="G831" s="407"/>
      <c r="H831" s="75"/>
      <c r="I831" s="412"/>
      <c r="J831" s="420"/>
      <c r="K831" s="75"/>
      <c r="L831" s="75"/>
      <c r="M831" s="75"/>
      <c r="N831" s="75"/>
      <c r="O831" s="102"/>
      <c r="P831" s="79"/>
      <c r="Q831" s="79"/>
      <c r="R831" s="79">
        <v>34</v>
      </c>
      <c r="S831" s="62" t="s">
        <v>1664</v>
      </c>
      <c r="T831" s="81" t="s">
        <v>113</v>
      </c>
      <c r="U831" s="79" t="s">
        <v>1667</v>
      </c>
      <c r="V831" s="79" t="s">
        <v>731</v>
      </c>
      <c r="W831" s="87" t="s">
        <v>103</v>
      </c>
      <c r="X831" s="87" t="s">
        <v>104</v>
      </c>
    </row>
    <row r="832" spans="1:24" hidden="1">
      <c r="A832" s="91" t="s">
        <v>1666</v>
      </c>
      <c r="B832" s="75"/>
      <c r="C832" s="75"/>
      <c r="D832" s="75"/>
      <c r="E832" s="75"/>
      <c r="F832" s="318"/>
      <c r="G832" s="407"/>
      <c r="H832" s="75"/>
      <c r="I832" s="412"/>
      <c r="J832" s="420"/>
      <c r="K832" s="75"/>
      <c r="L832" s="75"/>
      <c r="M832" s="75"/>
      <c r="N832" s="75"/>
      <c r="O832" s="102"/>
      <c r="P832" s="79"/>
      <c r="Q832" s="79"/>
      <c r="R832" s="79">
        <v>37</v>
      </c>
      <c r="S832" s="62" t="s">
        <v>1664</v>
      </c>
      <c r="T832" s="81" t="s">
        <v>113</v>
      </c>
      <c r="U832" s="79" t="s">
        <v>1668</v>
      </c>
      <c r="V832" s="79" t="s">
        <v>731</v>
      </c>
      <c r="W832" s="87" t="s">
        <v>103</v>
      </c>
      <c r="X832" s="87" t="s">
        <v>104</v>
      </c>
    </row>
    <row r="833" spans="1:24" hidden="1">
      <c r="A833" s="91" t="s">
        <v>1666</v>
      </c>
      <c r="B833" s="75"/>
      <c r="C833" s="75"/>
      <c r="D833" s="75"/>
      <c r="E833" s="75"/>
      <c r="F833" s="318"/>
      <c r="G833" s="407"/>
      <c r="H833" s="75"/>
      <c r="I833" s="412"/>
      <c r="J833" s="420"/>
      <c r="K833" s="75"/>
      <c r="L833" s="75"/>
      <c r="M833" s="75"/>
      <c r="N833" s="75"/>
      <c r="O833" s="102"/>
      <c r="P833" s="79"/>
      <c r="Q833" s="79"/>
      <c r="R833" s="79">
        <v>39</v>
      </c>
      <c r="S833" s="62" t="s">
        <v>1664</v>
      </c>
      <c r="T833" s="81" t="s">
        <v>113</v>
      </c>
      <c r="U833" s="79" t="s">
        <v>1669</v>
      </c>
      <c r="V833" s="79" t="s">
        <v>731</v>
      </c>
      <c r="W833" s="87" t="s">
        <v>103</v>
      </c>
      <c r="X833" s="87" t="s">
        <v>104</v>
      </c>
    </row>
    <row r="834" spans="1:24" hidden="1">
      <c r="A834" s="91" t="s">
        <v>1670</v>
      </c>
      <c r="B834" s="75"/>
      <c r="C834" s="75"/>
      <c r="D834" s="75"/>
      <c r="E834" s="75"/>
      <c r="F834" s="318"/>
      <c r="G834" s="407"/>
      <c r="H834" s="75"/>
      <c r="I834" s="412"/>
      <c r="J834" s="420"/>
      <c r="K834" s="75"/>
      <c r="L834" s="75"/>
      <c r="M834" s="75"/>
      <c r="N834" s="75"/>
      <c r="O834" s="102"/>
      <c r="P834" s="79"/>
      <c r="Q834" s="79"/>
      <c r="R834" s="79">
        <v>39</v>
      </c>
      <c r="S834" s="62" t="s">
        <v>1664</v>
      </c>
      <c r="T834" s="81" t="s">
        <v>113</v>
      </c>
      <c r="U834" s="79" t="s">
        <v>1671</v>
      </c>
      <c r="V834" s="79" t="s">
        <v>731</v>
      </c>
      <c r="W834" s="87" t="s">
        <v>103</v>
      </c>
      <c r="X834" s="87" t="s">
        <v>104</v>
      </c>
    </row>
    <row r="835" spans="1:24" hidden="1">
      <c r="A835" s="91" t="s">
        <v>1670</v>
      </c>
      <c r="B835" s="75"/>
      <c r="C835" s="75"/>
      <c r="D835" s="75"/>
      <c r="E835" s="75"/>
      <c r="F835" s="318"/>
      <c r="G835" s="407"/>
      <c r="H835" s="75"/>
      <c r="I835" s="412"/>
      <c r="J835" s="420"/>
      <c r="K835" s="75"/>
      <c r="L835" s="75"/>
      <c r="M835" s="75"/>
      <c r="N835" s="75"/>
      <c r="O835" s="102"/>
      <c r="P835" s="79"/>
      <c r="Q835" s="79"/>
      <c r="R835" s="79">
        <v>33</v>
      </c>
      <c r="S835" s="62" t="s">
        <v>1664</v>
      </c>
      <c r="T835" s="81" t="s">
        <v>113</v>
      </c>
      <c r="U835" s="79" t="s">
        <v>1672</v>
      </c>
      <c r="V835" s="79" t="s">
        <v>731</v>
      </c>
      <c r="W835" s="87" t="s">
        <v>103</v>
      </c>
      <c r="X835" s="87" t="s">
        <v>104</v>
      </c>
    </row>
    <row r="836" spans="1:24" hidden="1">
      <c r="A836" s="91" t="s">
        <v>1670</v>
      </c>
      <c r="B836" s="75"/>
      <c r="C836" s="75"/>
      <c r="D836" s="75"/>
      <c r="E836" s="75"/>
      <c r="F836" s="318"/>
      <c r="G836" s="407"/>
      <c r="H836" s="75"/>
      <c r="I836" s="412"/>
      <c r="J836" s="420"/>
      <c r="K836" s="75"/>
      <c r="L836" s="75"/>
      <c r="M836" s="75"/>
      <c r="N836" s="75"/>
      <c r="O836" s="102"/>
      <c r="P836" s="79"/>
      <c r="Q836" s="79"/>
      <c r="R836" s="79">
        <v>37</v>
      </c>
      <c r="S836" s="62" t="s">
        <v>1664</v>
      </c>
      <c r="T836" s="81" t="s">
        <v>113</v>
      </c>
      <c r="U836" s="79" t="s">
        <v>1673</v>
      </c>
      <c r="V836" s="79" t="s">
        <v>731</v>
      </c>
      <c r="W836" s="87" t="s">
        <v>103</v>
      </c>
      <c r="X836" s="87" t="s">
        <v>104</v>
      </c>
    </row>
    <row r="837" spans="1:24" ht="25.5" hidden="1">
      <c r="A837" s="91" t="s">
        <v>1674</v>
      </c>
      <c r="B837" s="75"/>
      <c r="C837" s="75"/>
      <c r="D837" s="75"/>
      <c r="E837" s="75"/>
      <c r="F837" s="318"/>
      <c r="G837" s="407"/>
      <c r="H837" s="75"/>
      <c r="I837" s="412"/>
      <c r="J837" s="420"/>
      <c r="K837" s="75"/>
      <c r="L837" s="75"/>
      <c r="M837" s="75"/>
      <c r="N837" s="75"/>
      <c r="O837" s="102"/>
      <c r="P837" s="79"/>
      <c r="Q837" s="79"/>
      <c r="R837" s="79">
        <v>39</v>
      </c>
      <c r="S837" s="62" t="s">
        <v>1664</v>
      </c>
      <c r="T837" s="81" t="s">
        <v>398</v>
      </c>
      <c r="U837" s="79" t="s">
        <v>1675</v>
      </c>
      <c r="V837" s="79" t="s">
        <v>731</v>
      </c>
      <c r="W837" s="87" t="s">
        <v>103</v>
      </c>
      <c r="X837" s="87" t="s">
        <v>104</v>
      </c>
    </row>
    <row r="838" spans="1:24" hidden="1">
      <c r="A838" s="91" t="s">
        <v>1676</v>
      </c>
      <c r="B838" s="75"/>
      <c r="C838" s="75"/>
      <c r="D838" s="75"/>
      <c r="E838" s="75"/>
      <c r="F838" s="318"/>
      <c r="G838" s="407"/>
      <c r="H838" s="75"/>
      <c r="I838" s="412"/>
      <c r="J838" s="420"/>
      <c r="K838" s="75"/>
      <c r="L838" s="75"/>
      <c r="M838" s="75"/>
      <c r="N838" s="75"/>
      <c r="O838" s="102"/>
      <c r="P838" s="79"/>
      <c r="Q838" s="79"/>
      <c r="R838" s="79">
        <v>35</v>
      </c>
      <c r="S838" s="62" t="s">
        <v>1677</v>
      </c>
      <c r="T838" s="81" t="s">
        <v>100</v>
      </c>
      <c r="U838" s="79" t="s">
        <v>1678</v>
      </c>
      <c r="V838" s="79" t="s">
        <v>731</v>
      </c>
      <c r="W838" s="87" t="s">
        <v>103</v>
      </c>
      <c r="X838" s="87" t="s">
        <v>104</v>
      </c>
    </row>
    <row r="839" spans="1:24" hidden="1">
      <c r="A839" s="91" t="s">
        <v>1676</v>
      </c>
      <c r="B839" s="75"/>
      <c r="C839" s="75"/>
      <c r="D839" s="75"/>
      <c r="E839" s="75"/>
      <c r="F839" s="318"/>
      <c r="G839" s="407"/>
      <c r="H839" s="75"/>
      <c r="I839" s="412"/>
      <c r="J839" s="420"/>
      <c r="K839" s="75"/>
      <c r="L839" s="75"/>
      <c r="M839" s="75"/>
      <c r="N839" s="75"/>
      <c r="O839" s="102"/>
      <c r="P839" s="79"/>
      <c r="Q839" s="79"/>
      <c r="R839" s="79">
        <v>46</v>
      </c>
      <c r="S839" s="62" t="s">
        <v>1677</v>
      </c>
      <c r="T839" s="81" t="s">
        <v>100</v>
      </c>
      <c r="U839" s="79" t="s">
        <v>1679</v>
      </c>
      <c r="V839" s="79" t="s">
        <v>731</v>
      </c>
      <c r="W839" s="87" t="s">
        <v>103</v>
      </c>
      <c r="X839" s="87" t="s">
        <v>104</v>
      </c>
    </row>
    <row r="840" spans="1:24" ht="25.5" hidden="1">
      <c r="A840" s="91" t="s">
        <v>1680</v>
      </c>
      <c r="B840" s="75"/>
      <c r="C840" s="75"/>
      <c r="D840" s="75"/>
      <c r="E840" s="75"/>
      <c r="F840" s="318"/>
      <c r="G840" s="407"/>
      <c r="H840" s="75"/>
      <c r="I840" s="412"/>
      <c r="J840" s="420"/>
      <c r="K840" s="75"/>
      <c r="L840" s="75"/>
      <c r="M840" s="75"/>
      <c r="N840" s="75"/>
      <c r="O840" s="102"/>
      <c r="P840" s="79"/>
      <c r="Q840" s="79"/>
      <c r="R840" s="79">
        <v>47</v>
      </c>
      <c r="S840" s="62" t="s">
        <v>1677</v>
      </c>
      <c r="T840" s="81" t="s">
        <v>100</v>
      </c>
      <c r="U840" s="79" t="s">
        <v>1681</v>
      </c>
      <c r="V840" s="79" t="s">
        <v>731</v>
      </c>
      <c r="W840" s="87" t="s">
        <v>103</v>
      </c>
      <c r="X840" s="87" t="s">
        <v>104</v>
      </c>
    </row>
    <row r="841" spans="1:24" hidden="1">
      <c r="A841" s="91" t="s">
        <v>1682</v>
      </c>
      <c r="B841" s="75"/>
      <c r="C841" s="75"/>
      <c r="D841" s="75"/>
      <c r="E841" s="75"/>
      <c r="F841" s="318"/>
      <c r="G841" s="407"/>
      <c r="H841" s="75"/>
      <c r="I841" s="412"/>
      <c r="J841" s="420"/>
      <c r="K841" s="75"/>
      <c r="L841" s="75"/>
      <c r="M841" s="75"/>
      <c r="N841" s="75"/>
      <c r="O841" s="102"/>
      <c r="P841" s="79"/>
      <c r="Q841" s="79"/>
      <c r="R841" s="79">
        <v>42</v>
      </c>
      <c r="S841" s="62" t="s">
        <v>1677</v>
      </c>
      <c r="T841" s="81" t="s">
        <v>100</v>
      </c>
      <c r="U841" s="79" t="s">
        <v>1683</v>
      </c>
      <c r="V841" s="79" t="s">
        <v>731</v>
      </c>
      <c r="W841" s="87" t="s">
        <v>103</v>
      </c>
      <c r="X841" s="87" t="s">
        <v>104</v>
      </c>
    </row>
    <row r="842" spans="1:24" hidden="1">
      <c r="A842" s="91" t="s">
        <v>1682</v>
      </c>
      <c r="B842" s="75"/>
      <c r="C842" s="75"/>
      <c r="D842" s="75"/>
      <c r="E842" s="75"/>
      <c r="F842" s="318"/>
      <c r="G842" s="407"/>
      <c r="H842" s="75"/>
      <c r="I842" s="412"/>
      <c r="J842" s="420"/>
      <c r="K842" s="75"/>
      <c r="L842" s="75"/>
      <c r="M842" s="75"/>
      <c r="N842" s="75"/>
      <c r="O842" s="102"/>
      <c r="P842" s="79"/>
      <c r="Q842" s="79"/>
      <c r="R842" s="79">
        <v>29</v>
      </c>
      <c r="S842" s="62" t="s">
        <v>1677</v>
      </c>
      <c r="T842" s="81" t="s">
        <v>100</v>
      </c>
      <c r="U842" s="79" t="s">
        <v>1684</v>
      </c>
      <c r="V842" s="79" t="s">
        <v>731</v>
      </c>
      <c r="W842" s="87" t="s">
        <v>103</v>
      </c>
      <c r="X842" s="87" t="s">
        <v>104</v>
      </c>
    </row>
    <row r="843" spans="1:24" hidden="1">
      <c r="A843" s="91" t="s">
        <v>1682</v>
      </c>
      <c r="B843" s="75"/>
      <c r="C843" s="75"/>
      <c r="D843" s="75"/>
      <c r="E843" s="75"/>
      <c r="F843" s="318"/>
      <c r="G843" s="407"/>
      <c r="H843" s="75"/>
      <c r="I843" s="412"/>
      <c r="J843" s="420"/>
      <c r="K843" s="75"/>
      <c r="L843" s="75"/>
      <c r="M843" s="75"/>
      <c r="N843" s="75"/>
      <c r="O843" s="102"/>
      <c r="P843" s="79"/>
      <c r="Q843" s="79"/>
      <c r="R843" s="79">
        <v>35</v>
      </c>
      <c r="S843" s="62" t="s">
        <v>1677</v>
      </c>
      <c r="T843" s="81" t="s">
        <v>100</v>
      </c>
      <c r="U843" s="79" t="s">
        <v>1685</v>
      </c>
      <c r="V843" s="79" t="s">
        <v>731</v>
      </c>
      <c r="W843" s="87" t="s">
        <v>103</v>
      </c>
      <c r="X843" s="87" t="s">
        <v>104</v>
      </c>
    </row>
    <row r="844" spans="1:24" ht="25.5" hidden="1">
      <c r="A844" s="91" t="s">
        <v>1686</v>
      </c>
      <c r="B844" s="75"/>
      <c r="C844" s="75"/>
      <c r="D844" s="75"/>
      <c r="E844" s="75"/>
      <c r="F844" s="318"/>
      <c r="G844" s="407"/>
      <c r="H844" s="75"/>
      <c r="I844" s="412"/>
      <c r="J844" s="420"/>
      <c r="K844" s="75"/>
      <c r="L844" s="75"/>
      <c r="M844" s="75"/>
      <c r="N844" s="75"/>
      <c r="O844" s="102"/>
      <c r="P844" s="79"/>
      <c r="Q844" s="79"/>
      <c r="R844" s="79">
        <v>44</v>
      </c>
      <c r="S844" s="62" t="s">
        <v>1677</v>
      </c>
      <c r="T844" s="81" t="s">
        <v>100</v>
      </c>
      <c r="U844" s="79" t="s">
        <v>1687</v>
      </c>
      <c r="V844" s="79" t="s">
        <v>731</v>
      </c>
      <c r="W844" s="87" t="s">
        <v>103</v>
      </c>
      <c r="X844" s="87" t="s">
        <v>104</v>
      </c>
    </row>
    <row r="845" spans="1:24" hidden="1">
      <c r="A845" s="91" t="s">
        <v>1688</v>
      </c>
      <c r="B845" s="75"/>
      <c r="C845" s="75"/>
      <c r="D845" s="75"/>
      <c r="E845" s="75"/>
      <c r="F845" s="318"/>
      <c r="G845" s="407"/>
      <c r="H845" s="75"/>
      <c r="I845" s="412"/>
      <c r="J845" s="420"/>
      <c r="K845" s="75"/>
      <c r="L845" s="75"/>
      <c r="M845" s="75"/>
      <c r="N845" s="75"/>
      <c r="O845" s="102"/>
      <c r="P845" s="79"/>
      <c r="Q845" s="79"/>
      <c r="R845" s="79">
        <v>44</v>
      </c>
      <c r="S845" s="62" t="s">
        <v>1677</v>
      </c>
      <c r="T845" s="81" t="s">
        <v>100</v>
      </c>
      <c r="U845" s="79" t="s">
        <v>1689</v>
      </c>
      <c r="V845" s="79" t="s">
        <v>731</v>
      </c>
      <c r="W845" s="87" t="s">
        <v>103</v>
      </c>
      <c r="X845" s="87" t="s">
        <v>104</v>
      </c>
    </row>
    <row r="846" spans="1:24" hidden="1">
      <c r="A846" s="91" t="s">
        <v>1690</v>
      </c>
      <c r="B846" s="75"/>
      <c r="C846" s="75"/>
      <c r="D846" s="75"/>
      <c r="E846" s="75"/>
      <c r="F846" s="318"/>
      <c r="G846" s="407"/>
      <c r="H846" s="75"/>
      <c r="I846" s="412"/>
      <c r="J846" s="420"/>
      <c r="K846" s="75"/>
      <c r="L846" s="75"/>
      <c r="M846" s="75"/>
      <c r="N846" s="75"/>
      <c r="O846" s="102"/>
      <c r="P846" s="79"/>
      <c r="Q846" s="79"/>
      <c r="R846" s="79">
        <v>36</v>
      </c>
      <c r="S846" s="62" t="s">
        <v>393</v>
      </c>
      <c r="T846" s="81" t="s">
        <v>100</v>
      </c>
      <c r="U846" s="79" t="s">
        <v>1691</v>
      </c>
      <c r="V846" s="79" t="s">
        <v>731</v>
      </c>
      <c r="W846" s="87" t="s">
        <v>103</v>
      </c>
      <c r="X846" s="87" t="s">
        <v>104</v>
      </c>
    </row>
    <row r="847" spans="1:24" hidden="1">
      <c r="A847" s="91" t="s">
        <v>1692</v>
      </c>
      <c r="B847" s="75"/>
      <c r="C847" s="75"/>
      <c r="D847" s="75"/>
      <c r="E847" s="75"/>
      <c r="F847" s="318"/>
      <c r="G847" s="407"/>
      <c r="H847" s="75"/>
      <c r="I847" s="412"/>
      <c r="J847" s="420"/>
      <c r="K847" s="75"/>
      <c r="L847" s="75"/>
      <c r="M847" s="75"/>
      <c r="N847" s="75"/>
      <c r="O847" s="102"/>
      <c r="P847" s="79"/>
      <c r="Q847" s="79"/>
      <c r="R847" s="79">
        <v>42</v>
      </c>
      <c r="S847" s="62" t="s">
        <v>393</v>
      </c>
      <c r="T847" s="81" t="s">
        <v>100</v>
      </c>
      <c r="U847" s="79" t="s">
        <v>1693</v>
      </c>
      <c r="V847" s="79" t="s">
        <v>731</v>
      </c>
      <c r="W847" s="87" t="s">
        <v>103</v>
      </c>
      <c r="X847" s="87" t="s">
        <v>104</v>
      </c>
    </row>
    <row r="848" spans="1:24" hidden="1">
      <c r="A848" s="91" t="s">
        <v>1692</v>
      </c>
      <c r="B848" s="75"/>
      <c r="C848" s="75"/>
      <c r="D848" s="75"/>
      <c r="E848" s="75"/>
      <c r="F848" s="318"/>
      <c r="G848" s="407"/>
      <c r="H848" s="75"/>
      <c r="I848" s="412"/>
      <c r="J848" s="420"/>
      <c r="K848" s="75"/>
      <c r="L848" s="75"/>
      <c r="M848" s="75"/>
      <c r="N848" s="75"/>
      <c r="O848" s="102"/>
      <c r="P848" s="79"/>
      <c r="Q848" s="79"/>
      <c r="R848" s="79">
        <v>34</v>
      </c>
      <c r="S848" s="62" t="s">
        <v>393</v>
      </c>
      <c r="T848" s="81" t="s">
        <v>100</v>
      </c>
      <c r="U848" s="79" t="s">
        <v>1694</v>
      </c>
      <c r="V848" s="79" t="s">
        <v>731</v>
      </c>
      <c r="W848" s="87" t="s">
        <v>103</v>
      </c>
      <c r="X848" s="87" t="s">
        <v>104</v>
      </c>
    </row>
    <row r="849" spans="1:24" hidden="1">
      <c r="A849" s="91" t="s">
        <v>1695</v>
      </c>
      <c r="B849" s="75"/>
      <c r="C849" s="75"/>
      <c r="D849" s="75"/>
      <c r="E849" s="75"/>
      <c r="F849" s="318"/>
      <c r="G849" s="407"/>
      <c r="H849" s="75"/>
      <c r="I849" s="412"/>
      <c r="J849" s="420"/>
      <c r="K849" s="75"/>
      <c r="L849" s="75"/>
      <c r="M849" s="75"/>
      <c r="N849" s="75"/>
      <c r="O849" s="102"/>
      <c r="P849" s="79"/>
      <c r="Q849" s="79"/>
      <c r="R849" s="79">
        <v>38</v>
      </c>
      <c r="S849" s="62" t="s">
        <v>393</v>
      </c>
      <c r="T849" s="81" t="s">
        <v>100</v>
      </c>
      <c r="U849" s="79" t="s">
        <v>1696</v>
      </c>
      <c r="V849" s="79" t="s">
        <v>731</v>
      </c>
      <c r="W849" s="87" t="s">
        <v>103</v>
      </c>
      <c r="X849" s="87" t="s">
        <v>104</v>
      </c>
    </row>
    <row r="850" spans="1:24" hidden="1">
      <c r="A850" s="91" t="s">
        <v>1695</v>
      </c>
      <c r="B850" s="75"/>
      <c r="C850" s="75"/>
      <c r="D850" s="75"/>
      <c r="E850" s="75"/>
      <c r="F850" s="318"/>
      <c r="G850" s="407"/>
      <c r="H850" s="75"/>
      <c r="I850" s="412"/>
      <c r="J850" s="420"/>
      <c r="K850" s="75"/>
      <c r="L850" s="75"/>
      <c r="M850" s="75"/>
      <c r="N850" s="75"/>
      <c r="O850" s="102"/>
      <c r="P850" s="79"/>
      <c r="Q850" s="79"/>
      <c r="R850" s="79">
        <v>43</v>
      </c>
      <c r="S850" s="62" t="s">
        <v>393</v>
      </c>
      <c r="T850" s="81" t="s">
        <v>100</v>
      </c>
      <c r="U850" s="79" t="s">
        <v>1697</v>
      </c>
      <c r="V850" s="79" t="s">
        <v>731</v>
      </c>
      <c r="W850" s="87" t="s">
        <v>103</v>
      </c>
      <c r="X850" s="87" t="s">
        <v>104</v>
      </c>
    </row>
    <row r="851" spans="1:24" hidden="1">
      <c r="A851" s="91" t="s">
        <v>1698</v>
      </c>
      <c r="B851" s="75"/>
      <c r="C851" s="75"/>
      <c r="D851" s="75"/>
      <c r="E851" s="75"/>
      <c r="F851" s="318"/>
      <c r="G851" s="407"/>
      <c r="H851" s="75"/>
      <c r="I851" s="412"/>
      <c r="J851" s="420"/>
      <c r="K851" s="75"/>
      <c r="L851" s="75"/>
      <c r="M851" s="75"/>
      <c r="N851" s="75"/>
      <c r="O851" s="102"/>
      <c r="P851" s="79"/>
      <c r="Q851" s="79"/>
      <c r="R851" s="79">
        <v>34</v>
      </c>
      <c r="S851" s="62" t="s">
        <v>393</v>
      </c>
      <c r="T851" s="81" t="s">
        <v>100</v>
      </c>
      <c r="U851" s="79" t="s">
        <v>1699</v>
      </c>
      <c r="V851" s="79" t="s">
        <v>731</v>
      </c>
      <c r="W851" s="87" t="s">
        <v>103</v>
      </c>
      <c r="X851" s="87" t="s">
        <v>104</v>
      </c>
    </row>
    <row r="852" spans="1:24" hidden="1">
      <c r="A852" s="91" t="s">
        <v>1698</v>
      </c>
      <c r="B852" s="75"/>
      <c r="C852" s="75"/>
      <c r="D852" s="75"/>
      <c r="E852" s="75"/>
      <c r="F852" s="318"/>
      <c r="G852" s="407"/>
      <c r="H852" s="75"/>
      <c r="I852" s="412"/>
      <c r="J852" s="420"/>
      <c r="K852" s="75"/>
      <c r="L852" s="75"/>
      <c r="M852" s="75"/>
      <c r="N852" s="75"/>
      <c r="O852" s="102"/>
      <c r="P852" s="79"/>
      <c r="Q852" s="79"/>
      <c r="R852" s="79">
        <v>40</v>
      </c>
      <c r="S852" s="62" t="s">
        <v>393</v>
      </c>
      <c r="T852" s="81" t="s">
        <v>100</v>
      </c>
      <c r="U852" s="79" t="s">
        <v>1700</v>
      </c>
      <c r="V852" s="79" t="s">
        <v>731</v>
      </c>
      <c r="W852" s="87" t="s">
        <v>103</v>
      </c>
      <c r="X852" s="87" t="s">
        <v>104</v>
      </c>
    </row>
    <row r="853" spans="1:24" ht="25.5" hidden="1">
      <c r="A853" s="91" t="s">
        <v>1701</v>
      </c>
      <c r="B853" s="75"/>
      <c r="C853" s="75"/>
      <c r="D853" s="75"/>
      <c r="E853" s="75"/>
      <c r="F853" s="318"/>
      <c r="G853" s="407"/>
      <c r="H853" s="75"/>
      <c r="I853" s="412"/>
      <c r="J853" s="420"/>
      <c r="K853" s="75"/>
      <c r="L853" s="75"/>
      <c r="M853" s="75"/>
      <c r="N853" s="75"/>
      <c r="O853" s="102"/>
      <c r="P853" s="79"/>
      <c r="Q853" s="79"/>
      <c r="R853" s="79">
        <v>36</v>
      </c>
      <c r="S853" s="62" t="s">
        <v>393</v>
      </c>
      <c r="T853" s="81" t="s">
        <v>100</v>
      </c>
      <c r="U853" s="79" t="s">
        <v>1702</v>
      </c>
      <c r="V853" s="79" t="s">
        <v>731</v>
      </c>
      <c r="W853" s="87" t="s">
        <v>103</v>
      </c>
      <c r="X853" s="87" t="s">
        <v>104</v>
      </c>
    </row>
    <row r="854" spans="1:24" hidden="1">
      <c r="A854" s="91" t="s">
        <v>1703</v>
      </c>
      <c r="B854" s="75"/>
      <c r="C854" s="75"/>
      <c r="D854" s="75"/>
      <c r="E854" s="75"/>
      <c r="F854" s="318"/>
      <c r="G854" s="407"/>
      <c r="H854" s="75"/>
      <c r="I854" s="412"/>
      <c r="J854" s="420"/>
      <c r="K854" s="75"/>
      <c r="L854" s="75"/>
      <c r="M854" s="75"/>
      <c r="N854" s="75"/>
      <c r="O854" s="102"/>
      <c r="P854" s="79"/>
      <c r="Q854" s="79"/>
      <c r="R854" s="79">
        <v>37</v>
      </c>
      <c r="S854" s="62" t="s">
        <v>393</v>
      </c>
      <c r="T854" s="81" t="s">
        <v>100</v>
      </c>
      <c r="U854" s="79" t="s">
        <v>1704</v>
      </c>
      <c r="V854" s="79" t="s">
        <v>731</v>
      </c>
      <c r="W854" s="87" t="s">
        <v>103</v>
      </c>
      <c r="X854" s="87" t="s">
        <v>104</v>
      </c>
    </row>
    <row r="855" spans="1:24" hidden="1">
      <c r="A855" s="91" t="s">
        <v>1703</v>
      </c>
      <c r="B855" s="75"/>
      <c r="C855" s="75"/>
      <c r="D855" s="75"/>
      <c r="E855" s="75"/>
      <c r="F855" s="318"/>
      <c r="G855" s="407"/>
      <c r="H855" s="75"/>
      <c r="I855" s="412"/>
      <c r="J855" s="420"/>
      <c r="K855" s="75"/>
      <c r="L855" s="75"/>
      <c r="M855" s="75"/>
      <c r="N855" s="75"/>
      <c r="O855" s="102"/>
      <c r="P855" s="79"/>
      <c r="Q855" s="79"/>
      <c r="R855" s="79">
        <v>38</v>
      </c>
      <c r="S855" s="62" t="s">
        <v>393</v>
      </c>
      <c r="T855" s="81" t="s">
        <v>100</v>
      </c>
      <c r="U855" s="79" t="s">
        <v>1705</v>
      </c>
      <c r="V855" s="79" t="s">
        <v>731</v>
      </c>
      <c r="W855" s="87" t="s">
        <v>103</v>
      </c>
      <c r="X855" s="87" t="s">
        <v>104</v>
      </c>
    </row>
    <row r="856" spans="1:24" ht="25.5" hidden="1">
      <c r="A856" s="91" t="s">
        <v>1706</v>
      </c>
      <c r="B856" s="75"/>
      <c r="C856" s="75"/>
      <c r="D856" s="75"/>
      <c r="E856" s="75"/>
      <c r="F856" s="318"/>
      <c r="G856" s="407"/>
      <c r="H856" s="75"/>
      <c r="I856" s="412"/>
      <c r="J856" s="420"/>
      <c r="K856" s="75"/>
      <c r="L856" s="75"/>
      <c r="M856" s="75"/>
      <c r="N856" s="75"/>
      <c r="O856" s="102"/>
      <c r="P856" s="79"/>
      <c r="Q856" s="79"/>
      <c r="R856" s="79">
        <v>39</v>
      </c>
      <c r="S856" s="62" t="s">
        <v>1707</v>
      </c>
      <c r="T856" s="81" t="s">
        <v>100</v>
      </c>
      <c r="U856" s="79" t="s">
        <v>1708</v>
      </c>
      <c r="V856" s="79" t="s">
        <v>731</v>
      </c>
      <c r="W856" s="87" t="s">
        <v>103</v>
      </c>
      <c r="X856" s="87" t="s">
        <v>104</v>
      </c>
    </row>
    <row r="857" spans="1:24" hidden="1">
      <c r="A857" s="91" t="s">
        <v>1709</v>
      </c>
      <c r="B857" s="75"/>
      <c r="C857" s="75"/>
      <c r="D857" s="75"/>
      <c r="E857" s="75"/>
      <c r="F857" s="318"/>
      <c r="G857" s="407"/>
      <c r="H857" s="75"/>
      <c r="I857" s="412"/>
      <c r="J857" s="420"/>
      <c r="K857" s="75"/>
      <c r="L857" s="75"/>
      <c r="M857" s="75"/>
      <c r="N857" s="75"/>
      <c r="O857" s="102"/>
      <c r="P857" s="79"/>
      <c r="Q857" s="79"/>
      <c r="R857" s="79">
        <v>40</v>
      </c>
      <c r="S857" s="62" t="s">
        <v>1626</v>
      </c>
      <c r="T857" s="81" t="s">
        <v>100</v>
      </c>
      <c r="U857" s="79" t="s">
        <v>1710</v>
      </c>
      <c r="V857" s="79" t="s">
        <v>731</v>
      </c>
      <c r="W857" s="87" t="s">
        <v>103</v>
      </c>
      <c r="X857" s="87" t="s">
        <v>104</v>
      </c>
    </row>
    <row r="858" spans="1:24" hidden="1">
      <c r="A858" s="91" t="s">
        <v>1709</v>
      </c>
      <c r="B858" s="75"/>
      <c r="C858" s="75"/>
      <c r="D858" s="75"/>
      <c r="E858" s="75"/>
      <c r="F858" s="318"/>
      <c r="G858" s="407"/>
      <c r="H858" s="75"/>
      <c r="I858" s="412"/>
      <c r="J858" s="420"/>
      <c r="K858" s="75"/>
      <c r="L858" s="75"/>
      <c r="M858" s="75"/>
      <c r="N858" s="75"/>
      <c r="O858" s="102"/>
      <c r="P858" s="79"/>
      <c r="Q858" s="79"/>
      <c r="R858" s="79">
        <v>34</v>
      </c>
      <c r="S858" s="62" t="s">
        <v>1626</v>
      </c>
      <c r="T858" s="81" t="s">
        <v>100</v>
      </c>
      <c r="U858" s="79" t="s">
        <v>1711</v>
      </c>
      <c r="V858" s="79" t="s">
        <v>731</v>
      </c>
      <c r="W858" s="87" t="s">
        <v>103</v>
      </c>
      <c r="X858" s="87" t="s">
        <v>104</v>
      </c>
    </row>
    <row r="859" spans="1:24" ht="25.5" hidden="1">
      <c r="A859" s="91" t="s">
        <v>1712</v>
      </c>
      <c r="B859" s="75"/>
      <c r="C859" s="75"/>
      <c r="D859" s="75"/>
      <c r="E859" s="75"/>
      <c r="F859" s="318"/>
      <c r="G859" s="407"/>
      <c r="H859" s="75"/>
      <c r="I859" s="412"/>
      <c r="J859" s="420"/>
      <c r="K859" s="75"/>
      <c r="L859" s="75"/>
      <c r="M859" s="75"/>
      <c r="N859" s="75"/>
      <c r="O859" s="102"/>
      <c r="P859" s="79"/>
      <c r="Q859" s="79"/>
      <c r="R859" s="79">
        <v>44</v>
      </c>
      <c r="S859" s="62" t="s">
        <v>1713</v>
      </c>
      <c r="T859" s="81" t="s">
        <v>100</v>
      </c>
      <c r="U859" s="79" t="s">
        <v>1714</v>
      </c>
      <c r="V859" s="79" t="s">
        <v>731</v>
      </c>
      <c r="W859" s="87" t="s">
        <v>103</v>
      </c>
      <c r="X859" s="87" t="s">
        <v>104</v>
      </c>
    </row>
    <row r="860" spans="1:24" hidden="1">
      <c r="A860" s="91" t="s">
        <v>1712</v>
      </c>
      <c r="B860" s="75"/>
      <c r="C860" s="75"/>
      <c r="D860" s="75"/>
      <c r="E860" s="75"/>
      <c r="F860" s="318"/>
      <c r="G860" s="407"/>
      <c r="H860" s="75"/>
      <c r="I860" s="412"/>
      <c r="J860" s="420"/>
      <c r="K860" s="75"/>
      <c r="L860" s="75"/>
      <c r="M860" s="75"/>
      <c r="N860" s="75"/>
      <c r="O860" s="102"/>
      <c r="P860" s="79"/>
      <c r="Q860" s="79"/>
      <c r="R860" s="79">
        <v>38</v>
      </c>
      <c r="S860" s="62" t="s">
        <v>1715</v>
      </c>
      <c r="T860" s="81" t="s">
        <v>100</v>
      </c>
      <c r="U860" s="79" t="s">
        <v>1716</v>
      </c>
      <c r="V860" s="79" t="s">
        <v>731</v>
      </c>
      <c r="W860" s="87" t="s">
        <v>103</v>
      </c>
      <c r="X860" s="87" t="s">
        <v>104</v>
      </c>
    </row>
    <row r="861" spans="1:24" ht="25.5" hidden="1">
      <c r="A861" s="91" t="s">
        <v>1717</v>
      </c>
      <c r="B861" s="75"/>
      <c r="C861" s="75"/>
      <c r="D861" s="75"/>
      <c r="E861" s="75"/>
      <c r="F861" s="318"/>
      <c r="G861" s="407"/>
      <c r="H861" s="75"/>
      <c r="I861" s="412"/>
      <c r="J861" s="420"/>
      <c r="K861" s="75"/>
      <c r="L861" s="75"/>
      <c r="M861" s="75"/>
      <c r="N861" s="75"/>
      <c r="O861" s="102"/>
      <c r="P861" s="79"/>
      <c r="Q861" s="79"/>
      <c r="R861" s="79">
        <v>42</v>
      </c>
      <c r="S861" s="62" t="s">
        <v>1715</v>
      </c>
      <c r="T861" s="81" t="s">
        <v>100</v>
      </c>
      <c r="U861" s="79" t="s">
        <v>1718</v>
      </c>
      <c r="V861" s="79" t="s">
        <v>731</v>
      </c>
      <c r="W861" s="87" t="s">
        <v>103</v>
      </c>
      <c r="X861" s="87" t="s">
        <v>104</v>
      </c>
    </row>
    <row r="862" spans="1:24" hidden="1">
      <c r="A862" s="91" t="s">
        <v>1719</v>
      </c>
      <c r="B862" s="75"/>
      <c r="C862" s="75"/>
      <c r="D862" s="75"/>
      <c r="E862" s="75"/>
      <c r="F862" s="318"/>
      <c r="G862" s="407"/>
      <c r="H862" s="75"/>
      <c r="I862" s="412"/>
      <c r="J862" s="420"/>
      <c r="K862" s="75"/>
      <c r="L862" s="75"/>
      <c r="M862" s="75"/>
      <c r="N862" s="75"/>
      <c r="O862" s="102"/>
      <c r="P862" s="79"/>
      <c r="Q862" s="79"/>
      <c r="R862" s="79">
        <v>40</v>
      </c>
      <c r="S862" s="62" t="s">
        <v>1715</v>
      </c>
      <c r="T862" s="81" t="s">
        <v>100</v>
      </c>
      <c r="U862" s="79" t="s">
        <v>1720</v>
      </c>
      <c r="V862" s="79" t="s">
        <v>731</v>
      </c>
      <c r="W862" s="87" t="s">
        <v>103</v>
      </c>
      <c r="X862" s="87" t="s">
        <v>104</v>
      </c>
    </row>
    <row r="863" spans="1:24" ht="25.5" hidden="1">
      <c r="A863" s="91" t="s">
        <v>1721</v>
      </c>
      <c r="B863" s="75"/>
      <c r="C863" s="75"/>
      <c r="D863" s="75"/>
      <c r="E863" s="75"/>
      <c r="F863" s="318"/>
      <c r="G863" s="407"/>
      <c r="H863" s="75"/>
      <c r="I863" s="412"/>
      <c r="J863" s="420"/>
      <c r="K863" s="75"/>
      <c r="L863" s="75"/>
      <c r="M863" s="75"/>
      <c r="N863" s="75"/>
      <c r="O863" s="102"/>
      <c r="P863" s="79"/>
      <c r="Q863" s="79"/>
      <c r="R863" s="79">
        <v>43</v>
      </c>
      <c r="S863" s="62" t="s">
        <v>1715</v>
      </c>
      <c r="T863" s="81" t="s">
        <v>100</v>
      </c>
      <c r="U863" s="79" t="s">
        <v>1722</v>
      </c>
      <c r="V863" s="79" t="s">
        <v>731</v>
      </c>
      <c r="W863" s="87" t="s">
        <v>103</v>
      </c>
      <c r="X863" s="87" t="s">
        <v>104</v>
      </c>
    </row>
    <row r="864" spans="1:24" hidden="1">
      <c r="A864" s="91" t="s">
        <v>1723</v>
      </c>
      <c r="B864" s="75"/>
      <c r="C864" s="75"/>
      <c r="D864" s="75"/>
      <c r="E864" s="75"/>
      <c r="F864" s="318"/>
      <c r="G864" s="407"/>
      <c r="H864" s="75"/>
      <c r="I864" s="412"/>
      <c r="J864" s="420"/>
      <c r="K864" s="75"/>
      <c r="L864" s="75"/>
      <c r="M864" s="75"/>
      <c r="N864" s="75"/>
      <c r="O864" s="102"/>
      <c r="P864" s="79"/>
      <c r="Q864" s="79"/>
      <c r="R864" s="79">
        <v>36</v>
      </c>
      <c r="S864" s="62" t="s">
        <v>1715</v>
      </c>
      <c r="T864" s="81" t="s">
        <v>100</v>
      </c>
      <c r="U864" s="79" t="s">
        <v>1724</v>
      </c>
      <c r="V864" s="79" t="s">
        <v>731</v>
      </c>
      <c r="W864" s="87" t="s">
        <v>103</v>
      </c>
      <c r="X864" s="87" t="s">
        <v>104</v>
      </c>
    </row>
    <row r="865" spans="1:24" hidden="1">
      <c r="A865" s="91" t="s">
        <v>1723</v>
      </c>
      <c r="B865" s="75"/>
      <c r="C865" s="75"/>
      <c r="D865" s="75"/>
      <c r="E865" s="75"/>
      <c r="F865" s="318"/>
      <c r="G865" s="407"/>
      <c r="H865" s="75"/>
      <c r="I865" s="412"/>
      <c r="J865" s="420"/>
      <c r="K865" s="75"/>
      <c r="L865" s="75"/>
      <c r="M865" s="75"/>
      <c r="N865" s="75"/>
      <c r="O865" s="102"/>
      <c r="P865" s="79"/>
      <c r="Q865" s="79"/>
      <c r="R865" s="79">
        <v>38</v>
      </c>
      <c r="S865" s="62" t="s">
        <v>1715</v>
      </c>
      <c r="T865" s="81" t="s">
        <v>100</v>
      </c>
      <c r="U865" s="79" t="s">
        <v>1725</v>
      </c>
      <c r="V865" s="79" t="s">
        <v>731</v>
      </c>
      <c r="W865" s="87" t="s">
        <v>103</v>
      </c>
      <c r="X865" s="87" t="s">
        <v>104</v>
      </c>
    </row>
    <row r="866" spans="1:24" hidden="1">
      <c r="A866" s="91" t="s">
        <v>1726</v>
      </c>
      <c r="B866" s="75"/>
      <c r="C866" s="75"/>
      <c r="D866" s="75"/>
      <c r="E866" s="75"/>
      <c r="F866" s="318"/>
      <c r="G866" s="407"/>
      <c r="H866" s="75"/>
      <c r="I866" s="412"/>
      <c r="J866" s="420"/>
      <c r="K866" s="75"/>
      <c r="L866" s="75"/>
      <c r="M866" s="75"/>
      <c r="N866" s="75"/>
      <c r="O866" s="102"/>
      <c r="P866" s="79"/>
      <c r="Q866" s="79"/>
      <c r="R866" s="79">
        <v>44</v>
      </c>
      <c r="S866" s="62" t="s">
        <v>1715</v>
      </c>
      <c r="T866" s="81" t="s">
        <v>100</v>
      </c>
      <c r="U866" s="79" t="s">
        <v>1727</v>
      </c>
      <c r="V866" s="79" t="s">
        <v>731</v>
      </c>
      <c r="W866" s="87" t="s">
        <v>103</v>
      </c>
      <c r="X866" s="87" t="s">
        <v>104</v>
      </c>
    </row>
    <row r="867" spans="1:24" hidden="1">
      <c r="A867" s="91" t="s">
        <v>1726</v>
      </c>
      <c r="B867" s="75"/>
      <c r="C867" s="75"/>
      <c r="D867" s="75"/>
      <c r="E867" s="75"/>
      <c r="F867" s="318"/>
      <c r="G867" s="407"/>
      <c r="H867" s="75"/>
      <c r="I867" s="412"/>
      <c r="J867" s="420"/>
      <c r="K867" s="75"/>
      <c r="L867" s="75"/>
      <c r="M867" s="75"/>
      <c r="N867" s="75"/>
      <c r="O867" s="102"/>
      <c r="P867" s="79"/>
      <c r="Q867" s="79"/>
      <c r="R867" s="79">
        <v>44</v>
      </c>
      <c r="S867" s="62" t="s">
        <v>1715</v>
      </c>
      <c r="T867" s="81" t="s">
        <v>100</v>
      </c>
      <c r="U867" s="79" t="s">
        <v>1728</v>
      </c>
      <c r="V867" s="79" t="s">
        <v>731</v>
      </c>
      <c r="W867" s="87" t="s">
        <v>103</v>
      </c>
      <c r="X867" s="87"/>
    </row>
    <row r="868" spans="1:24" hidden="1">
      <c r="A868" s="91" t="s">
        <v>1726</v>
      </c>
      <c r="B868" s="75"/>
      <c r="C868" s="75"/>
      <c r="D868" s="75"/>
      <c r="E868" s="75"/>
      <c r="F868" s="318"/>
      <c r="G868" s="407"/>
      <c r="H868" s="75"/>
      <c r="I868" s="412"/>
      <c r="J868" s="420"/>
      <c r="K868" s="75"/>
      <c r="L868" s="75"/>
      <c r="M868" s="75"/>
      <c r="N868" s="75"/>
      <c r="O868" s="102"/>
      <c r="P868" s="79"/>
      <c r="Q868" s="79"/>
      <c r="R868" s="79">
        <v>47</v>
      </c>
      <c r="S868" s="62" t="s">
        <v>1715</v>
      </c>
      <c r="T868" s="81" t="s">
        <v>100</v>
      </c>
      <c r="U868" s="79" t="s">
        <v>1729</v>
      </c>
      <c r="V868" s="79" t="s">
        <v>731</v>
      </c>
      <c r="W868" s="87" t="s">
        <v>103</v>
      </c>
      <c r="X868" s="87" t="s">
        <v>104</v>
      </c>
    </row>
    <row r="869" spans="1:24" hidden="1">
      <c r="A869" s="91" t="s">
        <v>1730</v>
      </c>
      <c r="B869" s="75"/>
      <c r="C869" s="75"/>
      <c r="D869" s="75"/>
      <c r="E869" s="75"/>
      <c r="F869" s="318"/>
      <c r="G869" s="407"/>
      <c r="H869" s="75"/>
      <c r="I869" s="412"/>
      <c r="J869" s="420"/>
      <c r="K869" s="75"/>
      <c r="L869" s="75"/>
      <c r="M869" s="75"/>
      <c r="N869" s="75"/>
      <c r="O869" s="102"/>
      <c r="P869" s="79"/>
      <c r="Q869" s="79"/>
      <c r="R869" s="79">
        <v>43</v>
      </c>
      <c r="S869" s="62" t="s">
        <v>1715</v>
      </c>
      <c r="T869" s="81" t="s">
        <v>100</v>
      </c>
      <c r="U869" s="79" t="s">
        <v>1731</v>
      </c>
      <c r="V869" s="79" t="s">
        <v>731</v>
      </c>
      <c r="W869" s="87" t="s">
        <v>103</v>
      </c>
      <c r="X869" s="87" t="s">
        <v>104</v>
      </c>
    </row>
    <row r="870" spans="1:24" hidden="1">
      <c r="A870" s="91" t="s">
        <v>1730</v>
      </c>
      <c r="B870" s="75"/>
      <c r="C870" s="75"/>
      <c r="D870" s="75"/>
      <c r="E870" s="75"/>
      <c r="F870" s="318"/>
      <c r="G870" s="407"/>
      <c r="H870" s="75"/>
      <c r="I870" s="412"/>
      <c r="J870" s="420"/>
      <c r="K870" s="75"/>
      <c r="L870" s="75"/>
      <c r="M870" s="75"/>
      <c r="N870" s="75"/>
      <c r="O870" s="102"/>
      <c r="P870" s="79"/>
      <c r="Q870" s="79"/>
      <c r="R870" s="79">
        <v>39</v>
      </c>
      <c r="S870" s="62" t="s">
        <v>1715</v>
      </c>
      <c r="T870" s="81" t="s">
        <v>100</v>
      </c>
      <c r="U870" s="79" t="s">
        <v>1732</v>
      </c>
      <c r="V870" s="79" t="s">
        <v>731</v>
      </c>
      <c r="W870" s="87" t="s">
        <v>103</v>
      </c>
      <c r="X870" s="87" t="s">
        <v>104</v>
      </c>
    </row>
    <row r="871" spans="1:24" hidden="1">
      <c r="A871" s="91" t="s">
        <v>1730</v>
      </c>
      <c r="B871" s="75"/>
      <c r="C871" s="75"/>
      <c r="D871" s="75"/>
      <c r="E871" s="75"/>
      <c r="F871" s="318"/>
      <c r="G871" s="407"/>
      <c r="H871" s="75"/>
      <c r="I871" s="412"/>
      <c r="J871" s="420"/>
      <c r="K871" s="75"/>
      <c r="L871" s="75"/>
      <c r="M871" s="75"/>
      <c r="N871" s="75"/>
      <c r="O871" s="102"/>
      <c r="P871" s="79"/>
      <c r="Q871" s="79"/>
      <c r="R871" s="79">
        <v>37</v>
      </c>
      <c r="S871" s="62" t="s">
        <v>1715</v>
      </c>
      <c r="T871" s="81" t="s">
        <v>100</v>
      </c>
      <c r="U871" s="79" t="s">
        <v>1733</v>
      </c>
      <c r="V871" s="79" t="s">
        <v>731</v>
      </c>
      <c r="W871" s="87" t="s">
        <v>103</v>
      </c>
      <c r="X871" s="87" t="s">
        <v>104</v>
      </c>
    </row>
    <row r="872" spans="1:24" hidden="1">
      <c r="A872" s="91" t="s">
        <v>1734</v>
      </c>
      <c r="B872" s="75"/>
      <c r="C872" s="75"/>
      <c r="D872" s="75"/>
      <c r="E872" s="75"/>
      <c r="F872" s="318"/>
      <c r="G872" s="407"/>
      <c r="H872" s="75"/>
      <c r="I872" s="412"/>
      <c r="J872" s="420"/>
      <c r="K872" s="75"/>
      <c r="L872" s="75"/>
      <c r="M872" s="75"/>
      <c r="N872" s="75"/>
      <c r="O872" s="102"/>
      <c r="P872" s="79"/>
      <c r="Q872" s="79"/>
      <c r="R872" s="79">
        <v>37</v>
      </c>
      <c r="S872" s="62" t="s">
        <v>729</v>
      </c>
      <c r="T872" s="81" t="s">
        <v>100</v>
      </c>
      <c r="U872" s="79" t="s">
        <v>1735</v>
      </c>
      <c r="V872" s="79" t="s">
        <v>731</v>
      </c>
      <c r="W872" s="87" t="s">
        <v>103</v>
      </c>
      <c r="X872" s="87" t="s">
        <v>104</v>
      </c>
    </row>
    <row r="873" spans="1:24" hidden="1">
      <c r="A873" s="91" t="s">
        <v>1734</v>
      </c>
      <c r="B873" s="75"/>
      <c r="C873" s="75"/>
      <c r="D873" s="75"/>
      <c r="E873" s="75"/>
      <c r="F873" s="318"/>
      <c r="G873" s="407"/>
      <c r="H873" s="75"/>
      <c r="I873" s="412"/>
      <c r="J873" s="420"/>
      <c r="K873" s="75"/>
      <c r="L873" s="75"/>
      <c r="M873" s="75"/>
      <c r="N873" s="75"/>
      <c r="O873" s="102"/>
      <c r="P873" s="79"/>
      <c r="Q873" s="79"/>
      <c r="R873" s="79">
        <v>37</v>
      </c>
      <c r="S873" s="62" t="s">
        <v>729</v>
      </c>
      <c r="T873" s="81" t="s">
        <v>100</v>
      </c>
      <c r="U873" s="79" t="s">
        <v>1736</v>
      </c>
      <c r="V873" s="79" t="s">
        <v>731</v>
      </c>
      <c r="W873" s="87" t="s">
        <v>103</v>
      </c>
      <c r="X873" s="87" t="s">
        <v>104</v>
      </c>
    </row>
    <row r="874" spans="1:24" hidden="1">
      <c r="A874" s="91" t="s">
        <v>1737</v>
      </c>
      <c r="B874" s="75"/>
      <c r="C874" s="75"/>
      <c r="D874" s="75"/>
      <c r="E874" s="75"/>
      <c r="F874" s="318"/>
      <c r="G874" s="407"/>
      <c r="H874" s="75"/>
      <c r="I874" s="412"/>
      <c r="J874" s="420"/>
      <c r="K874" s="75"/>
      <c r="L874" s="75"/>
      <c r="M874" s="75"/>
      <c r="N874" s="75"/>
      <c r="O874" s="102"/>
      <c r="P874" s="79"/>
      <c r="Q874" s="79"/>
      <c r="R874" s="79">
        <v>44</v>
      </c>
      <c r="S874" s="62" t="s">
        <v>729</v>
      </c>
      <c r="T874" s="81" t="s">
        <v>100</v>
      </c>
      <c r="U874" s="79" t="s">
        <v>1738</v>
      </c>
      <c r="V874" s="79" t="s">
        <v>731</v>
      </c>
      <c r="W874" s="87" t="s">
        <v>103</v>
      </c>
      <c r="X874" s="87" t="s">
        <v>104</v>
      </c>
    </row>
    <row r="875" spans="1:24" hidden="1">
      <c r="A875" s="110"/>
      <c r="B875" s="111"/>
      <c r="C875" s="111"/>
      <c r="D875" s="111"/>
      <c r="E875" s="111"/>
      <c r="F875" s="318"/>
      <c r="G875" s="407"/>
      <c r="H875" s="111"/>
      <c r="I875" s="412"/>
      <c r="J875" s="420"/>
      <c r="K875" s="111"/>
      <c r="L875" s="111"/>
      <c r="M875" s="111"/>
      <c r="N875" s="111"/>
      <c r="O875" s="102"/>
      <c r="P875" s="79"/>
      <c r="Q875" s="79"/>
      <c r="R875" s="79"/>
      <c r="S875" s="83"/>
      <c r="T875" s="104"/>
      <c r="U875" s="79"/>
      <c r="V875" s="79"/>
      <c r="W875" s="87"/>
      <c r="X875" s="87"/>
    </row>
    <row r="876" spans="1:24" hidden="1">
      <c r="A876" s="91" t="s">
        <v>1739</v>
      </c>
      <c r="B876" s="75"/>
      <c r="C876" s="75"/>
      <c r="D876" s="75"/>
      <c r="E876" s="75"/>
      <c r="F876" s="318"/>
      <c r="G876" s="407"/>
      <c r="H876" s="75"/>
      <c r="I876" s="412"/>
      <c r="J876" s="420"/>
      <c r="K876" s="75"/>
      <c r="L876" s="75"/>
      <c r="M876" s="75"/>
      <c r="N876" s="75"/>
      <c r="O876" s="102"/>
      <c r="P876" s="79"/>
      <c r="Q876" s="79"/>
      <c r="R876" s="79">
        <v>34</v>
      </c>
      <c r="S876" s="83" t="s">
        <v>1740</v>
      </c>
      <c r="T876" s="81" t="s">
        <v>1741</v>
      </c>
      <c r="U876" s="79" t="s">
        <v>1742</v>
      </c>
      <c r="V876" s="79" t="s">
        <v>731</v>
      </c>
      <c r="W876" s="87" t="s">
        <v>106</v>
      </c>
      <c r="X876" s="87" t="s">
        <v>104</v>
      </c>
    </row>
    <row r="877" spans="1:24" hidden="1">
      <c r="A877" s="91" t="s">
        <v>1739</v>
      </c>
      <c r="B877" s="75"/>
      <c r="C877" s="75"/>
      <c r="D877" s="75"/>
      <c r="E877" s="75"/>
      <c r="F877" s="318"/>
      <c r="G877" s="407"/>
      <c r="H877" s="75"/>
      <c r="I877" s="412"/>
      <c r="J877" s="420"/>
      <c r="K877" s="75"/>
      <c r="L877" s="75"/>
      <c r="M877" s="75"/>
      <c r="N877" s="75"/>
      <c r="O877" s="102"/>
      <c r="P877" s="79"/>
      <c r="Q877" s="79"/>
      <c r="R877" s="79">
        <v>33</v>
      </c>
      <c r="S877" s="83" t="s">
        <v>1740</v>
      </c>
      <c r="T877" s="81" t="s">
        <v>1741</v>
      </c>
      <c r="U877" s="79" t="s">
        <v>1743</v>
      </c>
      <c r="V877" s="79" t="s">
        <v>731</v>
      </c>
      <c r="W877" s="87" t="s">
        <v>106</v>
      </c>
      <c r="X877" s="87" t="s">
        <v>104</v>
      </c>
    </row>
    <row r="878" spans="1:24" hidden="1">
      <c r="A878" s="91" t="s">
        <v>1744</v>
      </c>
      <c r="B878" s="75"/>
      <c r="C878" s="75"/>
      <c r="D878" s="75"/>
      <c r="E878" s="75"/>
      <c r="F878" s="318"/>
      <c r="G878" s="407"/>
      <c r="H878" s="75"/>
      <c r="I878" s="412"/>
      <c r="J878" s="420"/>
      <c r="K878" s="75"/>
      <c r="L878" s="75"/>
      <c r="M878" s="75"/>
      <c r="N878" s="75"/>
      <c r="O878" s="102"/>
      <c r="P878" s="79"/>
      <c r="Q878" s="79"/>
      <c r="R878" s="79">
        <v>38</v>
      </c>
      <c r="S878" s="83" t="s">
        <v>1740</v>
      </c>
      <c r="T878" s="81" t="s">
        <v>1741</v>
      </c>
      <c r="U878" s="79" t="s">
        <v>1745</v>
      </c>
      <c r="V878" s="79" t="s">
        <v>731</v>
      </c>
      <c r="W878" s="87" t="s">
        <v>106</v>
      </c>
      <c r="X878" s="87" t="s">
        <v>104</v>
      </c>
    </row>
    <row r="879" spans="1:24" hidden="1">
      <c r="A879" s="91" t="s">
        <v>1746</v>
      </c>
      <c r="B879" s="75"/>
      <c r="C879" s="75"/>
      <c r="D879" s="75"/>
      <c r="E879" s="75"/>
      <c r="F879" s="318"/>
      <c r="G879" s="407"/>
      <c r="H879" s="75"/>
      <c r="I879" s="412"/>
      <c r="J879" s="420"/>
      <c r="K879" s="75"/>
      <c r="L879" s="75"/>
      <c r="M879" s="75"/>
      <c r="N879" s="75"/>
      <c r="O879" s="102"/>
      <c r="P879" s="79"/>
      <c r="Q879" s="79"/>
      <c r="R879" s="79">
        <v>34</v>
      </c>
      <c r="S879" s="83" t="s">
        <v>1740</v>
      </c>
      <c r="T879" s="81" t="s">
        <v>1747</v>
      </c>
      <c r="U879" s="79" t="s">
        <v>1748</v>
      </c>
      <c r="V879" s="79" t="s">
        <v>731</v>
      </c>
      <c r="W879" s="87" t="s">
        <v>106</v>
      </c>
      <c r="X879" s="87" t="s">
        <v>104</v>
      </c>
    </row>
    <row r="880" spans="1:24" hidden="1">
      <c r="A880" s="91" t="s">
        <v>1749</v>
      </c>
      <c r="B880" s="75"/>
      <c r="C880" s="75"/>
      <c r="D880" s="75"/>
      <c r="E880" s="75"/>
      <c r="F880" s="318"/>
      <c r="G880" s="407"/>
      <c r="H880" s="75"/>
      <c r="I880" s="412"/>
      <c r="J880" s="420"/>
      <c r="K880" s="75"/>
      <c r="L880" s="75"/>
      <c r="M880" s="75"/>
      <c r="N880" s="75"/>
      <c r="O880" s="102"/>
      <c r="P880" s="79"/>
      <c r="Q880" s="79"/>
      <c r="R880" s="79">
        <v>36</v>
      </c>
      <c r="S880" s="83" t="s">
        <v>1740</v>
      </c>
      <c r="T880" s="81" t="s">
        <v>113</v>
      </c>
      <c r="U880" s="79" t="s">
        <v>1750</v>
      </c>
      <c r="V880" s="79" t="s">
        <v>731</v>
      </c>
      <c r="W880" s="87" t="s">
        <v>106</v>
      </c>
      <c r="X880" s="87" t="s">
        <v>104</v>
      </c>
    </row>
    <row r="881" spans="1:24" hidden="1">
      <c r="A881" s="91" t="s">
        <v>1751</v>
      </c>
      <c r="B881" s="75"/>
      <c r="C881" s="75"/>
      <c r="D881" s="75"/>
      <c r="E881" s="75"/>
      <c r="F881" s="318"/>
      <c r="G881" s="407"/>
      <c r="H881" s="75"/>
      <c r="I881" s="412"/>
      <c r="J881" s="420"/>
      <c r="K881" s="75"/>
      <c r="L881" s="75"/>
      <c r="M881" s="75"/>
      <c r="N881" s="75"/>
      <c r="O881" s="102"/>
      <c r="P881" s="79"/>
      <c r="Q881" s="79"/>
      <c r="R881" s="79">
        <v>33</v>
      </c>
      <c r="S881" s="83" t="s">
        <v>1740</v>
      </c>
      <c r="T881" s="81" t="s">
        <v>113</v>
      </c>
      <c r="U881" s="79" t="s">
        <v>1752</v>
      </c>
      <c r="V881" s="79" t="s">
        <v>731</v>
      </c>
      <c r="W881" s="87" t="s">
        <v>106</v>
      </c>
      <c r="X881" s="87" t="s">
        <v>104</v>
      </c>
    </row>
    <row r="882" spans="1:24" hidden="1">
      <c r="A882" s="91" t="s">
        <v>1751</v>
      </c>
      <c r="B882" s="75"/>
      <c r="C882" s="75"/>
      <c r="D882" s="75"/>
      <c r="E882" s="75"/>
      <c r="F882" s="318"/>
      <c r="G882" s="407"/>
      <c r="H882" s="75"/>
      <c r="I882" s="412"/>
      <c r="J882" s="420"/>
      <c r="K882" s="75"/>
      <c r="L882" s="75"/>
      <c r="M882" s="75"/>
      <c r="N882" s="75"/>
      <c r="O882" s="102"/>
      <c r="P882" s="79"/>
      <c r="Q882" s="79"/>
      <c r="R882" s="79">
        <v>45</v>
      </c>
      <c r="S882" s="83" t="s">
        <v>1740</v>
      </c>
      <c r="T882" s="81" t="s">
        <v>113</v>
      </c>
      <c r="U882" s="79" t="s">
        <v>1753</v>
      </c>
      <c r="V882" s="79" t="s">
        <v>731</v>
      </c>
      <c r="W882" s="87" t="s">
        <v>106</v>
      </c>
      <c r="X882" s="87" t="s">
        <v>104</v>
      </c>
    </row>
    <row r="883" spans="1:24" hidden="1">
      <c r="A883" s="91" t="s">
        <v>1754</v>
      </c>
      <c r="B883" s="75"/>
      <c r="C883" s="75"/>
      <c r="D883" s="75"/>
      <c r="E883" s="75"/>
      <c r="F883" s="318"/>
      <c r="G883" s="407"/>
      <c r="H883" s="75"/>
      <c r="I883" s="412"/>
      <c r="J883" s="420"/>
      <c r="K883" s="75"/>
      <c r="L883" s="75"/>
      <c r="M883" s="75"/>
      <c r="N883" s="75"/>
      <c r="O883" s="102"/>
      <c r="P883" s="79"/>
      <c r="Q883" s="79"/>
      <c r="R883" s="79">
        <v>41</v>
      </c>
      <c r="S883" s="83" t="s">
        <v>1740</v>
      </c>
      <c r="T883" s="81" t="s">
        <v>113</v>
      </c>
      <c r="U883" s="79" t="s">
        <v>1755</v>
      </c>
      <c r="V883" s="79" t="s">
        <v>731</v>
      </c>
      <c r="W883" s="87" t="s">
        <v>106</v>
      </c>
      <c r="X883" s="87" t="s">
        <v>104</v>
      </c>
    </row>
    <row r="884" spans="1:24" hidden="1">
      <c r="A884" s="91" t="s">
        <v>1756</v>
      </c>
      <c r="B884" s="75"/>
      <c r="C884" s="75"/>
      <c r="D884" s="75"/>
      <c r="E884" s="75"/>
      <c r="F884" s="318"/>
      <c r="G884" s="407"/>
      <c r="H884" s="75"/>
      <c r="I884" s="412"/>
      <c r="J884" s="420"/>
      <c r="K884" s="75"/>
      <c r="L884" s="75"/>
      <c r="M884" s="75"/>
      <c r="N884" s="75"/>
      <c r="O884" s="102"/>
      <c r="P884" s="79"/>
      <c r="Q884" s="79"/>
      <c r="R884" s="79">
        <v>40</v>
      </c>
      <c r="S884" s="83" t="s">
        <v>1740</v>
      </c>
      <c r="T884" s="81" t="s">
        <v>113</v>
      </c>
      <c r="U884" s="79" t="s">
        <v>1757</v>
      </c>
      <c r="V884" s="79" t="s">
        <v>731</v>
      </c>
      <c r="W884" s="87" t="s">
        <v>106</v>
      </c>
      <c r="X884" s="87" t="s">
        <v>104</v>
      </c>
    </row>
    <row r="885" spans="1:24" ht="25.5" hidden="1">
      <c r="A885" s="91" t="s">
        <v>1758</v>
      </c>
      <c r="B885" s="75"/>
      <c r="C885" s="75"/>
      <c r="D885" s="75"/>
      <c r="E885" s="75"/>
      <c r="F885" s="318"/>
      <c r="G885" s="407"/>
      <c r="H885" s="75"/>
      <c r="I885" s="412"/>
      <c r="J885" s="420"/>
      <c r="K885" s="75"/>
      <c r="L885" s="75"/>
      <c r="M885" s="75"/>
      <c r="N885" s="75"/>
      <c r="O885" s="102"/>
      <c r="P885" s="79"/>
      <c r="Q885" s="79"/>
      <c r="R885" s="79">
        <v>38</v>
      </c>
      <c r="S885" s="83" t="s">
        <v>1759</v>
      </c>
      <c r="T885" s="81" t="s">
        <v>285</v>
      </c>
      <c r="U885" s="79" t="s">
        <v>1760</v>
      </c>
      <c r="V885" s="79" t="s">
        <v>731</v>
      </c>
      <c r="W885" s="87" t="s">
        <v>106</v>
      </c>
      <c r="X885" s="87" t="s">
        <v>104</v>
      </c>
    </row>
    <row r="886" spans="1:24" hidden="1">
      <c r="A886" s="91" t="s">
        <v>1761</v>
      </c>
      <c r="B886" s="75"/>
      <c r="C886" s="75"/>
      <c r="D886" s="75"/>
      <c r="E886" s="75"/>
      <c r="F886" s="318"/>
      <c r="G886" s="407"/>
      <c r="H886" s="75"/>
      <c r="I886" s="412"/>
      <c r="J886" s="420"/>
      <c r="K886" s="75"/>
      <c r="L886" s="75"/>
      <c r="M886" s="75"/>
      <c r="N886" s="75"/>
      <c r="O886" s="102"/>
      <c r="P886" s="79"/>
      <c r="Q886" s="79"/>
      <c r="R886" s="79">
        <v>39</v>
      </c>
      <c r="S886" s="83" t="s">
        <v>284</v>
      </c>
      <c r="T886" s="81" t="s">
        <v>285</v>
      </c>
      <c r="U886" s="79" t="s">
        <v>1762</v>
      </c>
      <c r="V886" s="79" t="s">
        <v>731</v>
      </c>
      <c r="W886" s="87" t="s">
        <v>106</v>
      </c>
      <c r="X886" s="87" t="s">
        <v>104</v>
      </c>
    </row>
    <row r="887" spans="1:24" hidden="1">
      <c r="A887" s="91" t="s">
        <v>1763</v>
      </c>
      <c r="B887" s="75"/>
      <c r="C887" s="75"/>
      <c r="D887" s="75"/>
      <c r="E887" s="75"/>
      <c r="F887" s="318"/>
      <c r="G887" s="407"/>
      <c r="H887" s="75"/>
      <c r="I887" s="412"/>
      <c r="J887" s="420"/>
      <c r="K887" s="75"/>
      <c r="L887" s="75"/>
      <c r="M887" s="75"/>
      <c r="N887" s="75"/>
      <c r="O887" s="102"/>
      <c r="P887" s="79"/>
      <c r="Q887" s="79"/>
      <c r="R887" s="79">
        <v>36</v>
      </c>
      <c r="S887" s="83" t="s">
        <v>284</v>
      </c>
      <c r="T887" s="81" t="s">
        <v>285</v>
      </c>
      <c r="U887" s="79" t="s">
        <v>1764</v>
      </c>
      <c r="V887" s="79" t="s">
        <v>731</v>
      </c>
      <c r="W887" s="87" t="s">
        <v>106</v>
      </c>
      <c r="X887" s="87" t="s">
        <v>104</v>
      </c>
    </row>
    <row r="888" spans="1:24" hidden="1">
      <c r="A888" s="91" t="s">
        <v>1765</v>
      </c>
      <c r="B888" s="75"/>
      <c r="C888" s="75"/>
      <c r="D888" s="75"/>
      <c r="E888" s="75"/>
      <c r="F888" s="318"/>
      <c r="G888" s="407"/>
      <c r="H888" s="75"/>
      <c r="I888" s="412"/>
      <c r="J888" s="420"/>
      <c r="K888" s="75"/>
      <c r="L888" s="75"/>
      <c r="M888" s="75"/>
      <c r="N888" s="75"/>
      <c r="O888" s="102"/>
      <c r="P888" s="79"/>
      <c r="Q888" s="79"/>
      <c r="R888" s="79">
        <v>40</v>
      </c>
      <c r="S888" s="83" t="s">
        <v>284</v>
      </c>
      <c r="T888" s="81" t="s">
        <v>285</v>
      </c>
      <c r="U888" s="79" t="s">
        <v>1766</v>
      </c>
      <c r="V888" s="79" t="s">
        <v>731</v>
      </c>
      <c r="W888" s="87" t="s">
        <v>106</v>
      </c>
      <c r="X888" s="87" t="s">
        <v>104</v>
      </c>
    </row>
    <row r="889" spans="1:24" hidden="1">
      <c r="A889" s="91" t="s">
        <v>1767</v>
      </c>
      <c r="B889" s="75"/>
      <c r="C889" s="75"/>
      <c r="D889" s="75"/>
      <c r="E889" s="75"/>
      <c r="F889" s="318"/>
      <c r="G889" s="407"/>
      <c r="H889" s="75"/>
      <c r="I889" s="412"/>
      <c r="J889" s="420"/>
      <c r="K889" s="75"/>
      <c r="L889" s="75"/>
      <c r="M889" s="75"/>
      <c r="N889" s="75"/>
      <c r="O889" s="102"/>
      <c r="P889" s="79"/>
      <c r="Q889" s="79"/>
      <c r="R889" s="79">
        <v>36</v>
      </c>
      <c r="S889" s="83" t="s">
        <v>284</v>
      </c>
      <c r="T889" s="81" t="s">
        <v>285</v>
      </c>
      <c r="U889" s="79" t="s">
        <v>1768</v>
      </c>
      <c r="V889" s="79" t="s">
        <v>731</v>
      </c>
      <c r="W889" s="87" t="s">
        <v>106</v>
      </c>
      <c r="X889" s="87" t="s">
        <v>104</v>
      </c>
    </row>
    <row r="890" spans="1:24" hidden="1">
      <c r="A890" s="91" t="s">
        <v>1769</v>
      </c>
      <c r="B890" s="75"/>
      <c r="C890" s="75"/>
      <c r="D890" s="75"/>
      <c r="E890" s="75"/>
      <c r="F890" s="318"/>
      <c r="G890" s="407"/>
      <c r="H890" s="75"/>
      <c r="I890" s="412"/>
      <c r="J890" s="420"/>
      <c r="K890" s="75"/>
      <c r="L890" s="75"/>
      <c r="M890" s="75"/>
      <c r="N890" s="75"/>
      <c r="O890" s="102"/>
      <c r="P890" s="79"/>
      <c r="Q890" s="79"/>
      <c r="R890" s="79">
        <v>38</v>
      </c>
      <c r="S890" s="83" t="s">
        <v>284</v>
      </c>
      <c r="T890" s="81" t="s">
        <v>285</v>
      </c>
      <c r="U890" s="79" t="s">
        <v>1770</v>
      </c>
      <c r="V890" s="79" t="s">
        <v>731</v>
      </c>
      <c r="W890" s="87" t="s">
        <v>106</v>
      </c>
      <c r="X890" s="87" t="s">
        <v>104</v>
      </c>
    </row>
    <row r="891" spans="1:24" ht="25.5" hidden="1">
      <c r="A891" s="91" t="s">
        <v>1771</v>
      </c>
      <c r="B891" s="75"/>
      <c r="C891" s="75"/>
      <c r="D891" s="75"/>
      <c r="E891" s="75"/>
      <c r="F891" s="318"/>
      <c r="G891" s="407"/>
      <c r="H891" s="75"/>
      <c r="I891" s="412"/>
      <c r="J891" s="420"/>
      <c r="K891" s="75"/>
      <c r="L891" s="75"/>
      <c r="M891" s="75"/>
      <c r="N891" s="75"/>
      <c r="O891" s="102"/>
      <c r="P891" s="79"/>
      <c r="Q891" s="79"/>
      <c r="R891" s="79">
        <v>43</v>
      </c>
      <c r="S891" s="83" t="s">
        <v>284</v>
      </c>
      <c r="T891" s="81" t="s">
        <v>285</v>
      </c>
      <c r="U891" s="79" t="s">
        <v>1772</v>
      </c>
      <c r="V891" s="79" t="s">
        <v>731</v>
      </c>
      <c r="W891" s="87" t="s">
        <v>106</v>
      </c>
      <c r="X891" s="87" t="s">
        <v>104</v>
      </c>
    </row>
    <row r="892" spans="1:24" hidden="1">
      <c r="A892" s="91" t="s">
        <v>1773</v>
      </c>
      <c r="B892" s="75"/>
      <c r="C892" s="75"/>
      <c r="D892" s="75"/>
      <c r="E892" s="75"/>
      <c r="F892" s="318"/>
      <c r="G892" s="407"/>
      <c r="H892" s="75"/>
      <c r="I892" s="412"/>
      <c r="J892" s="420"/>
      <c r="K892" s="75"/>
      <c r="L892" s="75"/>
      <c r="M892" s="75"/>
      <c r="N892" s="75"/>
      <c r="O892" s="102"/>
      <c r="P892" s="79"/>
      <c r="Q892" s="79"/>
      <c r="R892" s="79">
        <v>44</v>
      </c>
      <c r="S892" s="83" t="s">
        <v>284</v>
      </c>
      <c r="T892" s="81" t="s">
        <v>285</v>
      </c>
      <c r="U892" s="79" t="s">
        <v>1774</v>
      </c>
      <c r="V892" s="79" t="s">
        <v>731</v>
      </c>
      <c r="W892" s="87" t="s">
        <v>106</v>
      </c>
      <c r="X892" s="87" t="s">
        <v>104</v>
      </c>
    </row>
    <row r="893" spans="1:24" hidden="1">
      <c r="A893" s="91" t="s">
        <v>1775</v>
      </c>
      <c r="B893" s="75"/>
      <c r="C893" s="75"/>
      <c r="D893" s="75"/>
      <c r="E893" s="75"/>
      <c r="F893" s="318"/>
      <c r="G893" s="407"/>
      <c r="H893" s="75"/>
      <c r="I893" s="412"/>
      <c r="J893" s="420"/>
      <c r="K893" s="75"/>
      <c r="L893" s="75"/>
      <c r="M893" s="75"/>
      <c r="N893" s="75"/>
      <c r="O893" s="102"/>
      <c r="P893" s="79"/>
      <c r="Q893" s="79"/>
      <c r="R893" s="79">
        <v>38</v>
      </c>
      <c r="S893" s="83" t="s">
        <v>284</v>
      </c>
      <c r="T893" s="81" t="s">
        <v>285</v>
      </c>
      <c r="U893" s="79" t="s">
        <v>1776</v>
      </c>
      <c r="V893" s="79" t="s">
        <v>731</v>
      </c>
      <c r="W893" s="87" t="s">
        <v>106</v>
      </c>
      <c r="X893" s="87" t="s">
        <v>104</v>
      </c>
    </row>
    <row r="894" spans="1:24" hidden="1">
      <c r="A894" s="91" t="s">
        <v>1775</v>
      </c>
      <c r="B894" s="75"/>
      <c r="C894" s="75"/>
      <c r="D894" s="75"/>
      <c r="E894" s="75"/>
      <c r="F894" s="318"/>
      <c r="G894" s="407"/>
      <c r="H894" s="75"/>
      <c r="I894" s="412"/>
      <c r="J894" s="420"/>
      <c r="K894" s="75"/>
      <c r="L894" s="75"/>
      <c r="M894" s="75"/>
      <c r="N894" s="75"/>
      <c r="O894" s="102"/>
      <c r="P894" s="79"/>
      <c r="Q894" s="79"/>
      <c r="R894" s="79">
        <v>40</v>
      </c>
      <c r="S894" s="83" t="s">
        <v>284</v>
      </c>
      <c r="T894" s="81" t="s">
        <v>285</v>
      </c>
      <c r="U894" s="79" t="s">
        <v>1777</v>
      </c>
      <c r="V894" s="79" t="s">
        <v>731</v>
      </c>
      <c r="W894" s="87" t="s">
        <v>106</v>
      </c>
      <c r="X894" s="87" t="s">
        <v>104</v>
      </c>
    </row>
    <row r="895" spans="1:24" hidden="1">
      <c r="A895" s="91" t="s">
        <v>1778</v>
      </c>
      <c r="B895" s="75"/>
      <c r="C895" s="75"/>
      <c r="D895" s="75"/>
      <c r="E895" s="75"/>
      <c r="F895" s="318"/>
      <c r="G895" s="407"/>
      <c r="H895" s="75"/>
      <c r="I895" s="412"/>
      <c r="J895" s="420"/>
      <c r="K895" s="75"/>
      <c r="L895" s="75"/>
      <c r="M895" s="75"/>
      <c r="N895" s="75"/>
      <c r="O895" s="102"/>
      <c r="P895" s="79"/>
      <c r="Q895" s="79"/>
      <c r="R895" s="79">
        <v>38</v>
      </c>
      <c r="S895" s="83" t="s">
        <v>284</v>
      </c>
      <c r="T895" s="81" t="s">
        <v>285</v>
      </c>
      <c r="U895" s="79" t="s">
        <v>1779</v>
      </c>
      <c r="V895" s="79" t="s">
        <v>731</v>
      </c>
      <c r="W895" s="87" t="s">
        <v>106</v>
      </c>
      <c r="X895" s="87" t="s">
        <v>104</v>
      </c>
    </row>
    <row r="896" spans="1:24" ht="25.5" hidden="1">
      <c r="A896" s="91" t="s">
        <v>1780</v>
      </c>
      <c r="B896" s="75"/>
      <c r="C896" s="75"/>
      <c r="D896" s="75"/>
      <c r="E896" s="75"/>
      <c r="F896" s="318"/>
      <c r="G896" s="407"/>
      <c r="H896" s="75"/>
      <c r="I896" s="412"/>
      <c r="J896" s="420"/>
      <c r="K896" s="75"/>
      <c r="L896" s="75"/>
      <c r="M896" s="75"/>
      <c r="N896" s="75"/>
      <c r="O896" s="102"/>
      <c r="P896" s="79"/>
      <c r="Q896" s="79"/>
      <c r="R896" s="79">
        <v>44</v>
      </c>
      <c r="S896" s="83" t="s">
        <v>284</v>
      </c>
      <c r="T896" s="81" t="s">
        <v>285</v>
      </c>
      <c r="U896" s="79" t="s">
        <v>1781</v>
      </c>
      <c r="V896" s="79" t="s">
        <v>731</v>
      </c>
      <c r="W896" s="87" t="s">
        <v>106</v>
      </c>
      <c r="X896" s="87" t="s">
        <v>104</v>
      </c>
    </row>
    <row r="897" spans="1:24" ht="25.5" hidden="1">
      <c r="A897" s="91" t="s">
        <v>1782</v>
      </c>
      <c r="B897" s="75"/>
      <c r="C897" s="75"/>
      <c r="D897" s="75"/>
      <c r="E897" s="75"/>
      <c r="F897" s="318"/>
      <c r="G897" s="407"/>
      <c r="H897" s="75"/>
      <c r="I897" s="412"/>
      <c r="J897" s="420"/>
      <c r="K897" s="75"/>
      <c r="L897" s="75"/>
      <c r="M897" s="75"/>
      <c r="N897" s="75"/>
      <c r="O897" s="102"/>
      <c r="P897" s="79"/>
      <c r="Q897" s="79"/>
      <c r="R897" s="79">
        <v>38</v>
      </c>
      <c r="S897" s="83" t="s">
        <v>284</v>
      </c>
      <c r="T897" s="81" t="s">
        <v>285</v>
      </c>
      <c r="U897" s="79" t="s">
        <v>1783</v>
      </c>
      <c r="V897" s="79" t="s">
        <v>731</v>
      </c>
      <c r="W897" s="87" t="s">
        <v>106</v>
      </c>
      <c r="X897" s="87" t="s">
        <v>104</v>
      </c>
    </row>
    <row r="898" spans="1:24" hidden="1">
      <c r="A898" s="91" t="s">
        <v>1784</v>
      </c>
      <c r="B898" s="75"/>
      <c r="C898" s="75"/>
      <c r="D898" s="75"/>
      <c r="E898" s="75"/>
      <c r="F898" s="318"/>
      <c r="G898" s="407"/>
      <c r="H898" s="75"/>
      <c r="I898" s="412"/>
      <c r="J898" s="420"/>
      <c r="K898" s="75"/>
      <c r="L898" s="75"/>
      <c r="M898" s="75"/>
      <c r="N898" s="75"/>
      <c r="O898" s="102"/>
      <c r="P898" s="79"/>
      <c r="Q898" s="79"/>
      <c r="R898" s="79">
        <v>37</v>
      </c>
      <c r="S898" s="83" t="s">
        <v>284</v>
      </c>
      <c r="T898" s="81" t="s">
        <v>285</v>
      </c>
      <c r="U898" s="79" t="s">
        <v>1785</v>
      </c>
      <c r="V898" s="79" t="s">
        <v>731</v>
      </c>
      <c r="W898" s="87" t="s">
        <v>106</v>
      </c>
      <c r="X898" s="87" t="s">
        <v>104</v>
      </c>
    </row>
    <row r="899" spans="1:24" hidden="1">
      <c r="A899" s="91" t="s">
        <v>1784</v>
      </c>
      <c r="B899" s="75"/>
      <c r="C899" s="75"/>
      <c r="D899" s="75"/>
      <c r="E899" s="75"/>
      <c r="F899" s="318"/>
      <c r="G899" s="407"/>
      <c r="H899" s="75"/>
      <c r="I899" s="412"/>
      <c r="J899" s="420"/>
      <c r="K899" s="75"/>
      <c r="L899" s="75"/>
      <c r="M899" s="75"/>
      <c r="N899" s="75"/>
      <c r="O899" s="102"/>
      <c r="P899" s="79"/>
      <c r="Q899" s="79"/>
      <c r="R899" s="79">
        <v>46</v>
      </c>
      <c r="S899" s="83" t="s">
        <v>284</v>
      </c>
      <c r="T899" s="81" t="s">
        <v>285</v>
      </c>
      <c r="U899" s="79" t="s">
        <v>1786</v>
      </c>
      <c r="V899" s="79" t="s">
        <v>731</v>
      </c>
      <c r="W899" s="87" t="s">
        <v>106</v>
      </c>
      <c r="X899" s="87" t="s">
        <v>104</v>
      </c>
    </row>
    <row r="900" spans="1:24" hidden="1">
      <c r="A900" s="91" t="s">
        <v>1787</v>
      </c>
      <c r="B900" s="75"/>
      <c r="C900" s="75"/>
      <c r="D900" s="75"/>
      <c r="E900" s="75"/>
      <c r="F900" s="318"/>
      <c r="G900" s="407"/>
      <c r="H900" s="75"/>
      <c r="I900" s="412"/>
      <c r="J900" s="420"/>
      <c r="K900" s="75"/>
      <c r="L900" s="75"/>
      <c r="M900" s="75"/>
      <c r="N900" s="75"/>
      <c r="O900" s="102"/>
      <c r="P900" s="79"/>
      <c r="Q900" s="79"/>
      <c r="R900" s="79">
        <v>38</v>
      </c>
      <c r="S900" s="83" t="s">
        <v>284</v>
      </c>
      <c r="T900" s="81" t="s">
        <v>285</v>
      </c>
      <c r="U900" s="79" t="s">
        <v>1788</v>
      </c>
      <c r="V900" s="79" t="s">
        <v>731</v>
      </c>
      <c r="W900" s="87" t="s">
        <v>106</v>
      </c>
      <c r="X900" s="87" t="s">
        <v>104</v>
      </c>
    </row>
    <row r="901" spans="1:24" ht="25.5" hidden="1">
      <c r="A901" s="91" t="s">
        <v>1789</v>
      </c>
      <c r="B901" s="75"/>
      <c r="C901" s="75"/>
      <c r="D901" s="75"/>
      <c r="E901" s="75"/>
      <c r="F901" s="318"/>
      <c r="G901" s="407"/>
      <c r="H901" s="75"/>
      <c r="I901" s="412"/>
      <c r="J901" s="420"/>
      <c r="K901" s="75"/>
      <c r="L901" s="75"/>
      <c r="M901" s="75"/>
      <c r="N901" s="75"/>
      <c r="O901" s="102"/>
      <c r="P901" s="79"/>
      <c r="Q901" s="79"/>
      <c r="R901" s="79">
        <v>38</v>
      </c>
      <c r="S901" s="83" t="s">
        <v>284</v>
      </c>
      <c r="T901" s="81" t="s">
        <v>285</v>
      </c>
      <c r="U901" s="79" t="s">
        <v>1790</v>
      </c>
      <c r="V901" s="79" t="s">
        <v>731</v>
      </c>
      <c r="W901" s="87" t="s">
        <v>106</v>
      </c>
      <c r="X901" s="87" t="s">
        <v>104</v>
      </c>
    </row>
    <row r="902" spans="1:24" hidden="1">
      <c r="A902" s="91" t="s">
        <v>1791</v>
      </c>
      <c r="B902" s="75"/>
      <c r="C902" s="75"/>
      <c r="D902" s="75"/>
      <c r="E902" s="75"/>
      <c r="F902" s="318"/>
      <c r="G902" s="407"/>
      <c r="H902" s="75"/>
      <c r="I902" s="412"/>
      <c r="J902" s="420"/>
      <c r="K902" s="75"/>
      <c r="L902" s="75"/>
      <c r="M902" s="75"/>
      <c r="N902" s="75"/>
      <c r="O902" s="102"/>
      <c r="P902" s="79"/>
      <c r="Q902" s="79"/>
      <c r="R902" s="79">
        <v>41</v>
      </c>
      <c r="S902" s="83" t="s">
        <v>284</v>
      </c>
      <c r="T902" s="81" t="s">
        <v>285</v>
      </c>
      <c r="U902" s="79" t="s">
        <v>1792</v>
      </c>
      <c r="V902" s="79" t="s">
        <v>731</v>
      </c>
      <c r="W902" s="87" t="s">
        <v>106</v>
      </c>
      <c r="X902" s="87" t="s">
        <v>104</v>
      </c>
    </row>
    <row r="903" spans="1:24" hidden="1">
      <c r="A903" s="91" t="s">
        <v>1793</v>
      </c>
      <c r="B903" s="75"/>
      <c r="C903" s="75"/>
      <c r="D903" s="75"/>
      <c r="E903" s="75"/>
      <c r="F903" s="318"/>
      <c r="G903" s="407"/>
      <c r="H903" s="75"/>
      <c r="I903" s="412"/>
      <c r="J903" s="420"/>
      <c r="K903" s="75"/>
      <c r="L903" s="75"/>
      <c r="M903" s="75"/>
      <c r="N903" s="75"/>
      <c r="O903" s="102"/>
      <c r="P903" s="79"/>
      <c r="Q903" s="79"/>
      <c r="R903" s="79">
        <v>38</v>
      </c>
      <c r="S903" s="83" t="s">
        <v>284</v>
      </c>
      <c r="T903" s="81" t="s">
        <v>285</v>
      </c>
      <c r="U903" s="79" t="s">
        <v>1794</v>
      </c>
      <c r="V903" s="79" t="s">
        <v>731</v>
      </c>
      <c r="W903" s="87" t="s">
        <v>106</v>
      </c>
      <c r="X903" s="87" t="s">
        <v>104</v>
      </c>
    </row>
    <row r="904" spans="1:24" ht="25.5" hidden="1">
      <c r="A904" s="91" t="s">
        <v>1795</v>
      </c>
      <c r="B904" s="75"/>
      <c r="C904" s="75"/>
      <c r="D904" s="75"/>
      <c r="E904" s="75"/>
      <c r="F904" s="318"/>
      <c r="G904" s="407"/>
      <c r="H904" s="75"/>
      <c r="I904" s="412"/>
      <c r="J904" s="420"/>
      <c r="K904" s="75"/>
      <c r="L904" s="75"/>
      <c r="M904" s="75"/>
      <c r="N904" s="75"/>
      <c r="O904" s="102"/>
      <c r="P904" s="79"/>
      <c r="Q904" s="79"/>
      <c r="R904" s="79">
        <v>40</v>
      </c>
      <c r="S904" s="83" t="s">
        <v>284</v>
      </c>
      <c r="T904" s="81" t="s">
        <v>285</v>
      </c>
      <c r="U904" s="79" t="s">
        <v>1796</v>
      </c>
      <c r="V904" s="79" t="s">
        <v>731</v>
      </c>
      <c r="W904" s="87" t="s">
        <v>106</v>
      </c>
      <c r="X904" s="87" t="s">
        <v>104</v>
      </c>
    </row>
    <row r="905" spans="1:24" ht="25.5" hidden="1">
      <c r="A905" s="91" t="s">
        <v>1797</v>
      </c>
      <c r="B905" s="75"/>
      <c r="C905" s="75"/>
      <c r="D905" s="75"/>
      <c r="E905" s="75"/>
      <c r="F905" s="318"/>
      <c r="G905" s="407"/>
      <c r="H905" s="75"/>
      <c r="I905" s="412"/>
      <c r="J905" s="420"/>
      <c r="K905" s="75"/>
      <c r="L905" s="75"/>
      <c r="M905" s="75"/>
      <c r="N905" s="75"/>
      <c r="O905" s="102"/>
      <c r="P905" s="79"/>
      <c r="Q905" s="79"/>
      <c r="R905" s="79">
        <v>35</v>
      </c>
      <c r="S905" s="83" t="s">
        <v>288</v>
      </c>
      <c r="T905" s="81" t="s">
        <v>289</v>
      </c>
      <c r="U905" s="79" t="s">
        <v>1798</v>
      </c>
      <c r="V905" s="79" t="s">
        <v>731</v>
      </c>
      <c r="W905" s="87" t="s">
        <v>106</v>
      </c>
      <c r="X905" s="87" t="s">
        <v>104</v>
      </c>
    </row>
    <row r="906" spans="1:24" hidden="1">
      <c r="A906" s="110"/>
      <c r="B906" s="111"/>
      <c r="C906" s="111"/>
      <c r="D906" s="111"/>
      <c r="E906" s="111"/>
      <c r="F906" s="318"/>
      <c r="G906" s="407"/>
      <c r="H906" s="111"/>
      <c r="I906" s="412"/>
      <c r="J906" s="420"/>
      <c r="K906" s="111"/>
      <c r="L906" s="111"/>
      <c r="M906" s="111"/>
      <c r="N906" s="111"/>
      <c r="O906" s="102"/>
      <c r="P906" s="79"/>
      <c r="Q906" s="79"/>
      <c r="R906" s="79"/>
      <c r="S906" s="83"/>
      <c r="T906" s="104"/>
      <c r="U906" s="79"/>
      <c r="V906" s="79"/>
      <c r="W906" s="87"/>
    </row>
    <row r="907" spans="1:24" hidden="1">
      <c r="A907" s="91" t="s">
        <v>1799</v>
      </c>
      <c r="B907" s="75"/>
      <c r="C907" s="75"/>
      <c r="D907" s="75"/>
      <c r="E907" s="75"/>
      <c r="F907" s="318"/>
      <c r="G907" s="407"/>
      <c r="H907" s="75"/>
      <c r="I907" s="412"/>
      <c r="J907" s="420"/>
      <c r="K907" s="75"/>
      <c r="L907" s="75"/>
      <c r="M907" s="75"/>
      <c r="N907" s="75"/>
      <c r="O907" s="102"/>
      <c r="P907" s="79"/>
      <c r="Q907" s="79"/>
      <c r="R907" s="79">
        <v>30</v>
      </c>
      <c r="S907" s="83" t="s">
        <v>1800</v>
      </c>
      <c r="T907" s="81" t="s">
        <v>921</v>
      </c>
      <c r="U907" s="79" t="s">
        <v>1742</v>
      </c>
      <c r="V907" s="79" t="s">
        <v>731</v>
      </c>
      <c r="W907" s="87" t="s">
        <v>106</v>
      </c>
      <c r="X907" s="87" t="s">
        <v>104</v>
      </c>
    </row>
    <row r="908" spans="1:24" hidden="1">
      <c r="A908" s="91" t="s">
        <v>1799</v>
      </c>
      <c r="B908" s="75"/>
      <c r="C908" s="75"/>
      <c r="D908" s="75"/>
      <c r="E908" s="75"/>
      <c r="F908" s="318"/>
      <c r="G908" s="407"/>
      <c r="H908" s="75"/>
      <c r="I908" s="412"/>
      <c r="J908" s="420"/>
      <c r="K908" s="75"/>
      <c r="L908" s="75"/>
      <c r="M908" s="75"/>
      <c r="N908" s="75"/>
      <c r="O908" s="102"/>
      <c r="P908" s="79"/>
      <c r="Q908" s="79"/>
      <c r="R908" s="79">
        <v>33</v>
      </c>
      <c r="S908" s="83" t="s">
        <v>1800</v>
      </c>
      <c r="T908" s="81" t="s">
        <v>921</v>
      </c>
      <c r="U908" s="79" t="s">
        <v>1743</v>
      </c>
      <c r="V908" s="79" t="s">
        <v>731</v>
      </c>
      <c r="W908" s="87" t="s">
        <v>106</v>
      </c>
      <c r="X908" s="87" t="s">
        <v>104</v>
      </c>
    </row>
    <row r="909" spans="1:24" hidden="1">
      <c r="A909" s="91" t="s">
        <v>1801</v>
      </c>
      <c r="B909" s="75"/>
      <c r="C909" s="75"/>
      <c r="D909" s="75"/>
      <c r="E909" s="75"/>
      <c r="F909" s="318"/>
      <c r="G909" s="407"/>
      <c r="H909" s="75"/>
      <c r="I909" s="412"/>
      <c r="J909" s="420"/>
      <c r="K909" s="75"/>
      <c r="L909" s="75"/>
      <c r="M909" s="75"/>
      <c r="N909" s="75"/>
      <c r="O909" s="102"/>
      <c r="P909" s="79"/>
      <c r="Q909" s="79"/>
      <c r="R909" s="79">
        <v>35</v>
      </c>
      <c r="S909" s="83" t="s">
        <v>1800</v>
      </c>
      <c r="T909" s="81" t="s">
        <v>921</v>
      </c>
      <c r="U909" s="79" t="s">
        <v>1745</v>
      </c>
      <c r="V909" s="79" t="s">
        <v>731</v>
      </c>
      <c r="W909" s="87" t="s">
        <v>106</v>
      </c>
      <c r="X909" s="87" t="s">
        <v>104</v>
      </c>
    </row>
    <row r="910" spans="1:24" hidden="1">
      <c r="A910" s="91" t="s">
        <v>1801</v>
      </c>
      <c r="B910" s="75"/>
      <c r="C910" s="75"/>
      <c r="D910" s="75"/>
      <c r="E910" s="75"/>
      <c r="F910" s="318"/>
      <c r="G910" s="407"/>
      <c r="H910" s="75"/>
      <c r="I910" s="412"/>
      <c r="J910" s="420"/>
      <c r="K910" s="75"/>
      <c r="L910" s="75"/>
      <c r="M910" s="75"/>
      <c r="N910" s="75"/>
      <c r="O910" s="102"/>
      <c r="P910" s="79"/>
      <c r="Q910" s="79"/>
      <c r="R910" s="79">
        <v>41</v>
      </c>
      <c r="S910" s="83" t="s">
        <v>1800</v>
      </c>
      <c r="T910" s="81" t="s">
        <v>921</v>
      </c>
      <c r="U910" s="79" t="s">
        <v>1802</v>
      </c>
      <c r="V910" s="79" t="s">
        <v>731</v>
      </c>
      <c r="W910" s="87" t="s">
        <v>106</v>
      </c>
      <c r="X910" s="87" t="s">
        <v>104</v>
      </c>
    </row>
    <row r="911" spans="1:24" ht="25.5" hidden="1">
      <c r="A911" s="91" t="s">
        <v>1803</v>
      </c>
      <c r="B911" s="75"/>
      <c r="C911" s="75"/>
      <c r="D911" s="75"/>
      <c r="E911" s="75"/>
      <c r="F911" s="318"/>
      <c r="G911" s="407"/>
      <c r="H911" s="75"/>
      <c r="I911" s="412"/>
      <c r="J911" s="420"/>
      <c r="K911" s="75"/>
      <c r="L911" s="75"/>
      <c r="M911" s="75"/>
      <c r="N911" s="75"/>
      <c r="O911" s="102"/>
      <c r="P911" s="79"/>
      <c r="Q911" s="79"/>
      <c r="R911" s="79">
        <v>37</v>
      </c>
      <c r="S911" s="83" t="s">
        <v>1804</v>
      </c>
      <c r="T911" s="81" t="s">
        <v>1805</v>
      </c>
      <c r="U911" s="79" t="s">
        <v>1806</v>
      </c>
      <c r="V911" s="79" t="s">
        <v>731</v>
      </c>
      <c r="W911" s="87" t="s">
        <v>106</v>
      </c>
      <c r="X911" s="87" t="s">
        <v>104</v>
      </c>
    </row>
    <row r="912" spans="1:24" hidden="1">
      <c r="A912" s="91" t="s">
        <v>1807</v>
      </c>
      <c r="B912" s="75"/>
      <c r="C912" s="75"/>
      <c r="D912" s="75"/>
      <c r="E912" s="75"/>
      <c r="F912" s="318"/>
      <c r="G912" s="407"/>
      <c r="H912" s="75"/>
      <c r="I912" s="412"/>
      <c r="J912" s="420"/>
      <c r="K912" s="75"/>
      <c r="L912" s="75"/>
      <c r="M912" s="75"/>
      <c r="N912" s="75"/>
      <c r="O912" s="102"/>
      <c r="P912" s="79"/>
      <c r="Q912" s="79"/>
      <c r="R912" s="79">
        <v>42</v>
      </c>
      <c r="S912" s="83" t="s">
        <v>309</v>
      </c>
      <c r="T912" s="81" t="s">
        <v>285</v>
      </c>
      <c r="U912" s="79" t="s">
        <v>1808</v>
      </c>
      <c r="V912" s="79" t="s">
        <v>731</v>
      </c>
      <c r="W912" s="87" t="s">
        <v>106</v>
      </c>
      <c r="X912" s="87" t="s">
        <v>104</v>
      </c>
    </row>
    <row r="913" spans="1:24" ht="25.5" hidden="1">
      <c r="A913" s="117" t="s">
        <v>1809</v>
      </c>
      <c r="B913" s="75"/>
      <c r="C913" s="75"/>
      <c r="D913" s="75"/>
      <c r="E913" s="75"/>
      <c r="F913" s="318"/>
      <c r="G913" s="407"/>
      <c r="H913" s="75"/>
      <c r="I913" s="412"/>
      <c r="J913" s="420"/>
      <c r="K913" s="75"/>
      <c r="L913" s="75"/>
      <c r="M913" s="75"/>
      <c r="N913" s="75"/>
      <c r="O913" s="102"/>
      <c r="P913" s="79"/>
      <c r="Q913" s="79"/>
      <c r="R913" s="79">
        <v>6</v>
      </c>
      <c r="S913" s="83" t="s">
        <v>242</v>
      </c>
      <c r="T913" s="104" t="s">
        <v>113</v>
      </c>
      <c r="U913" s="79" t="s">
        <v>1810</v>
      </c>
      <c r="V913" s="79" t="s">
        <v>731</v>
      </c>
      <c r="W913" s="87"/>
      <c r="X913" s="87"/>
    </row>
    <row r="914" spans="1:24" hidden="1">
      <c r="A914" s="117" t="s">
        <v>1811</v>
      </c>
      <c r="B914" s="75"/>
      <c r="C914" s="75"/>
      <c r="D914" s="75"/>
      <c r="E914" s="75"/>
      <c r="F914" s="318"/>
      <c r="G914" s="407"/>
      <c r="H914" s="75"/>
      <c r="I914" s="412"/>
      <c r="J914" s="420"/>
      <c r="K914" s="75"/>
      <c r="L914" s="75"/>
      <c r="M914" s="75"/>
      <c r="N914" s="75"/>
      <c r="O914" s="102"/>
      <c r="P914" s="79"/>
      <c r="Q914" s="79"/>
      <c r="R914" s="79">
        <v>6</v>
      </c>
      <c r="S914" s="83" t="s">
        <v>242</v>
      </c>
      <c r="T914" s="104" t="s">
        <v>113</v>
      </c>
      <c r="U914" s="79" t="s">
        <v>1812</v>
      </c>
      <c r="V914" s="79" t="s">
        <v>731</v>
      </c>
      <c r="W914" s="87"/>
      <c r="X914" s="87"/>
    </row>
    <row r="915" spans="1:24" hidden="1">
      <c r="A915" s="117" t="s">
        <v>1813</v>
      </c>
      <c r="B915" s="75"/>
      <c r="C915" s="75"/>
      <c r="D915" s="75"/>
      <c r="E915" s="75"/>
      <c r="F915" s="318"/>
      <c r="G915" s="407"/>
      <c r="H915" s="75"/>
      <c r="I915" s="412"/>
      <c r="J915" s="420"/>
      <c r="K915" s="75"/>
      <c r="L915" s="75"/>
      <c r="M915" s="75"/>
      <c r="N915" s="75"/>
      <c r="O915" s="102"/>
      <c r="P915" s="79"/>
      <c r="Q915" s="79"/>
      <c r="R915" s="79">
        <v>7</v>
      </c>
      <c r="S915" s="83" t="s">
        <v>268</v>
      </c>
      <c r="T915" s="104" t="s">
        <v>113</v>
      </c>
      <c r="U915" s="79" t="s">
        <v>1814</v>
      </c>
      <c r="V915" s="79" t="s">
        <v>731</v>
      </c>
      <c r="W915" s="87"/>
      <c r="X915" s="87"/>
    </row>
    <row r="916" spans="1:24" ht="25.5" hidden="1">
      <c r="A916" s="117" t="s">
        <v>1815</v>
      </c>
      <c r="B916" s="75"/>
      <c r="C916" s="75"/>
      <c r="D916" s="75"/>
      <c r="E916" s="75"/>
      <c r="F916" s="318"/>
      <c r="G916" s="407"/>
      <c r="H916" s="75"/>
      <c r="I916" s="412"/>
      <c r="J916" s="420"/>
      <c r="K916" s="75"/>
      <c r="L916" s="75"/>
      <c r="M916" s="75"/>
      <c r="N916" s="75"/>
      <c r="O916" s="102"/>
      <c r="P916" s="79"/>
      <c r="Q916" s="79"/>
      <c r="R916" s="79">
        <v>4</v>
      </c>
      <c r="S916" s="83" t="s">
        <v>1816</v>
      </c>
      <c r="T916" s="81" t="s">
        <v>550</v>
      </c>
      <c r="U916" s="79" t="s">
        <v>1817</v>
      </c>
      <c r="V916" s="79" t="s">
        <v>731</v>
      </c>
      <c r="W916" s="87"/>
      <c r="X916" s="87"/>
    </row>
    <row r="917" spans="1:24" hidden="1">
      <c r="A917" s="117" t="s">
        <v>1818</v>
      </c>
      <c r="B917" s="75"/>
      <c r="C917" s="75"/>
      <c r="D917" s="75"/>
      <c r="E917" s="75"/>
      <c r="F917" s="318"/>
      <c r="G917" s="407"/>
      <c r="H917" s="75"/>
      <c r="I917" s="412"/>
      <c r="J917" s="420"/>
      <c r="K917" s="75"/>
      <c r="L917" s="75"/>
      <c r="M917" s="75"/>
      <c r="N917" s="75"/>
      <c r="O917" s="102"/>
      <c r="P917" s="79"/>
      <c r="Q917" s="79"/>
      <c r="R917" s="79">
        <v>6</v>
      </c>
      <c r="S917" s="83" t="s">
        <v>242</v>
      </c>
      <c r="T917" s="81" t="s">
        <v>113</v>
      </c>
      <c r="U917" s="79" t="s">
        <v>1819</v>
      </c>
      <c r="V917" s="79" t="s">
        <v>731</v>
      </c>
      <c r="W917" s="87"/>
      <c r="X917" s="87"/>
    </row>
    <row r="918" spans="1:24" ht="25.5" hidden="1">
      <c r="A918" s="117" t="s">
        <v>1820</v>
      </c>
      <c r="B918" s="75"/>
      <c r="C918" s="75"/>
      <c r="D918" s="75"/>
      <c r="E918" s="75"/>
      <c r="F918" s="318"/>
      <c r="G918" s="407"/>
      <c r="H918" s="75"/>
      <c r="I918" s="412"/>
      <c r="J918" s="420"/>
      <c r="K918" s="75"/>
      <c r="L918" s="75"/>
      <c r="M918" s="75"/>
      <c r="N918" s="75"/>
      <c r="O918" s="102"/>
      <c r="P918" s="79"/>
      <c r="Q918" s="79"/>
      <c r="R918" s="79">
        <v>6</v>
      </c>
      <c r="S918" s="83" t="s">
        <v>235</v>
      </c>
      <c r="T918" s="81" t="s">
        <v>113</v>
      </c>
      <c r="U918" s="79" t="s">
        <v>1821</v>
      </c>
      <c r="V918" s="79" t="s">
        <v>731</v>
      </c>
      <c r="W918" s="87"/>
      <c r="X918" s="87"/>
    </row>
    <row r="919" spans="1:24" ht="25.5" hidden="1">
      <c r="A919" s="117" t="s">
        <v>1822</v>
      </c>
      <c r="B919" s="75"/>
      <c r="C919" s="75"/>
      <c r="D919" s="75"/>
      <c r="E919" s="75"/>
      <c r="F919" s="318"/>
      <c r="G919" s="407"/>
      <c r="H919" s="75"/>
      <c r="I919" s="412"/>
      <c r="J919" s="420"/>
      <c r="K919" s="75"/>
      <c r="L919" s="75"/>
      <c r="M919" s="75"/>
      <c r="N919" s="75"/>
      <c r="O919" s="102"/>
      <c r="P919" s="79"/>
      <c r="Q919" s="79"/>
      <c r="R919" s="79">
        <v>5</v>
      </c>
      <c r="S919" s="83" t="s">
        <v>235</v>
      </c>
      <c r="T919" s="81" t="s">
        <v>113</v>
      </c>
      <c r="U919" s="79" t="s">
        <v>1823</v>
      </c>
      <c r="V919" s="79" t="s">
        <v>731</v>
      </c>
      <c r="W919" s="87"/>
      <c r="X919" s="87"/>
    </row>
    <row r="920" spans="1:24" ht="25.5" hidden="1">
      <c r="A920" s="117" t="s">
        <v>1824</v>
      </c>
      <c r="B920" s="75"/>
      <c r="C920" s="75"/>
      <c r="D920" s="75"/>
      <c r="E920" s="75"/>
      <c r="F920" s="318"/>
      <c r="G920" s="407"/>
      <c r="H920" s="75"/>
      <c r="I920" s="412"/>
      <c r="J920" s="420"/>
      <c r="K920" s="75"/>
      <c r="L920" s="75"/>
      <c r="M920" s="75"/>
      <c r="N920" s="75"/>
      <c r="O920" s="102"/>
      <c r="P920" s="79"/>
      <c r="Q920" s="79"/>
      <c r="R920" s="79">
        <v>7</v>
      </c>
      <c r="S920" s="83" t="s">
        <v>235</v>
      </c>
      <c r="T920" s="81" t="s">
        <v>113</v>
      </c>
      <c r="U920" s="79" t="s">
        <v>1825</v>
      </c>
      <c r="V920" s="79" t="s">
        <v>731</v>
      </c>
      <c r="W920" s="87"/>
      <c r="X920" s="87"/>
    </row>
    <row r="921" spans="1:24" hidden="1">
      <c r="A921" s="117" t="s">
        <v>1826</v>
      </c>
      <c r="B921" s="75"/>
      <c r="C921" s="75"/>
      <c r="D921" s="75"/>
      <c r="E921" s="75"/>
      <c r="F921" s="318"/>
      <c r="G921" s="407"/>
      <c r="H921" s="75"/>
      <c r="I921" s="412"/>
      <c r="J921" s="420"/>
      <c r="K921" s="75"/>
      <c r="L921" s="75"/>
      <c r="M921" s="75"/>
      <c r="N921" s="75"/>
      <c r="O921" s="102"/>
      <c r="P921" s="79"/>
      <c r="Q921" s="79"/>
      <c r="R921" s="79">
        <v>2</v>
      </c>
      <c r="S921" s="83" t="s">
        <v>235</v>
      </c>
      <c r="T921" s="81" t="s">
        <v>113</v>
      </c>
      <c r="U921" s="79" t="s">
        <v>1827</v>
      </c>
      <c r="V921" s="79" t="s">
        <v>731</v>
      </c>
      <c r="W921" s="87"/>
      <c r="X921" s="87"/>
    </row>
    <row r="922" spans="1:24" ht="25.5" hidden="1">
      <c r="A922" s="117" t="s">
        <v>1828</v>
      </c>
      <c r="B922" s="75"/>
      <c r="C922" s="75"/>
      <c r="D922" s="75"/>
      <c r="E922" s="75"/>
      <c r="F922" s="318"/>
      <c r="G922" s="407"/>
      <c r="H922" s="75"/>
      <c r="I922" s="412"/>
      <c r="J922" s="420"/>
      <c r="K922" s="75"/>
      <c r="L922" s="75"/>
      <c r="M922" s="75"/>
      <c r="N922" s="75"/>
      <c r="O922" s="102"/>
      <c r="P922" s="79"/>
      <c r="Q922" s="79"/>
      <c r="R922" s="79">
        <v>5</v>
      </c>
      <c r="S922" s="83" t="s">
        <v>1210</v>
      </c>
      <c r="T922" s="81" t="s">
        <v>398</v>
      </c>
      <c r="U922" s="79" t="s">
        <v>1829</v>
      </c>
      <c r="V922" s="79" t="s">
        <v>731</v>
      </c>
      <c r="W922" s="87"/>
      <c r="X922" s="87"/>
    </row>
    <row r="923" spans="1:24" ht="25.5" hidden="1">
      <c r="A923" s="117" t="s">
        <v>1830</v>
      </c>
      <c r="B923" s="75"/>
      <c r="C923" s="75"/>
      <c r="D923" s="75"/>
      <c r="E923" s="75"/>
      <c r="F923" s="318"/>
      <c r="G923" s="407"/>
      <c r="H923" s="75"/>
      <c r="I923" s="412"/>
      <c r="J923" s="420"/>
      <c r="K923" s="75"/>
      <c r="L923" s="75"/>
      <c r="M923" s="75"/>
      <c r="N923" s="75"/>
      <c r="O923" s="102"/>
      <c r="P923" s="79"/>
      <c r="Q923" s="79"/>
      <c r="R923" s="79">
        <v>5</v>
      </c>
      <c r="S923" s="83" t="s">
        <v>1831</v>
      </c>
      <c r="T923" s="81" t="s">
        <v>1832</v>
      </c>
      <c r="U923" s="79" t="s">
        <v>1833</v>
      </c>
      <c r="V923" s="79" t="s">
        <v>731</v>
      </c>
      <c r="W923" s="87"/>
      <c r="X923" s="87"/>
    </row>
    <row r="924" spans="1:24" hidden="1">
      <c r="A924" s="117" t="s">
        <v>1834</v>
      </c>
      <c r="B924" s="75"/>
      <c r="C924" s="75"/>
      <c r="D924" s="75"/>
      <c r="E924" s="75"/>
      <c r="F924" s="318"/>
      <c r="G924" s="407"/>
      <c r="H924" s="75"/>
      <c r="I924" s="412"/>
      <c r="J924" s="420"/>
      <c r="K924" s="75"/>
      <c r="L924" s="75"/>
      <c r="M924" s="75"/>
      <c r="N924" s="75"/>
      <c r="O924" s="102"/>
      <c r="P924" s="79"/>
      <c r="Q924" s="79"/>
      <c r="R924" s="79">
        <v>7</v>
      </c>
      <c r="S924" s="83" t="s">
        <v>442</v>
      </c>
      <c r="T924" s="81">
        <v>4</v>
      </c>
      <c r="U924" s="79"/>
      <c r="V924" s="79" t="s">
        <v>731</v>
      </c>
      <c r="W924" s="87"/>
      <c r="X924" s="87"/>
    </row>
    <row r="925" spans="1:24" hidden="1">
      <c r="A925" s="117" t="s">
        <v>1835</v>
      </c>
      <c r="B925" s="75"/>
      <c r="C925" s="75"/>
      <c r="D925" s="75"/>
      <c r="E925" s="75"/>
      <c r="F925" s="318"/>
      <c r="G925" s="407"/>
      <c r="H925" s="75"/>
      <c r="I925" s="412"/>
      <c r="J925" s="420"/>
      <c r="K925" s="75"/>
      <c r="L925" s="75"/>
      <c r="M925" s="75"/>
      <c r="N925" s="75"/>
      <c r="O925" s="102"/>
      <c r="P925" s="79"/>
      <c r="Q925" s="79"/>
      <c r="R925" s="79">
        <v>6</v>
      </c>
      <c r="S925" s="83" t="s">
        <v>463</v>
      </c>
      <c r="T925" s="81">
        <v>13</v>
      </c>
      <c r="U925" s="79"/>
      <c r="V925" s="79" t="s">
        <v>731</v>
      </c>
      <c r="W925" s="87"/>
      <c r="X925" s="87"/>
    </row>
    <row r="926" spans="1:24" hidden="1">
      <c r="A926" s="117" t="s">
        <v>1835</v>
      </c>
      <c r="B926" s="75"/>
      <c r="C926" s="75"/>
      <c r="D926" s="75"/>
      <c r="E926" s="75"/>
      <c r="F926" s="318"/>
      <c r="G926" s="407"/>
      <c r="H926" s="75"/>
      <c r="I926" s="412"/>
      <c r="J926" s="420"/>
      <c r="K926" s="75"/>
      <c r="L926" s="75"/>
      <c r="M926" s="75"/>
      <c r="N926" s="75"/>
      <c r="O926" s="102"/>
      <c r="P926" s="79"/>
      <c r="Q926" s="79"/>
      <c r="R926" s="79">
        <v>6</v>
      </c>
      <c r="S926" s="83" t="s">
        <v>463</v>
      </c>
      <c r="T926" s="81">
        <v>13</v>
      </c>
      <c r="U926" s="79"/>
      <c r="V926" s="79" t="s">
        <v>731</v>
      </c>
      <c r="W926" s="87"/>
      <c r="X926" s="87"/>
    </row>
    <row r="927" spans="1:24" hidden="1">
      <c r="A927" s="117" t="s">
        <v>1834</v>
      </c>
      <c r="B927" s="75"/>
      <c r="C927" s="75"/>
      <c r="D927" s="75"/>
      <c r="E927" s="75"/>
      <c r="F927" s="318"/>
      <c r="G927" s="407"/>
      <c r="H927" s="75"/>
      <c r="I927" s="412"/>
      <c r="J927" s="420"/>
      <c r="K927" s="75"/>
      <c r="L927" s="75"/>
      <c r="M927" s="75"/>
      <c r="N927" s="75"/>
      <c r="O927" s="102"/>
      <c r="P927" s="79"/>
      <c r="Q927" s="79"/>
      <c r="R927" s="79">
        <v>6</v>
      </c>
      <c r="S927" s="83" t="s">
        <v>442</v>
      </c>
      <c r="T927" s="81">
        <v>4</v>
      </c>
      <c r="U927" s="79"/>
      <c r="V927" s="79" t="s">
        <v>731</v>
      </c>
      <c r="W927" s="87"/>
      <c r="X927" s="87"/>
    </row>
    <row r="928" spans="1:24" ht="25.5" hidden="1">
      <c r="A928" s="117" t="s">
        <v>1836</v>
      </c>
      <c r="B928" s="75"/>
      <c r="C928" s="75"/>
      <c r="D928" s="75"/>
      <c r="E928" s="75"/>
      <c r="F928" s="318"/>
      <c r="G928" s="407"/>
      <c r="H928" s="75"/>
      <c r="I928" s="412"/>
      <c r="J928" s="420"/>
      <c r="K928" s="75"/>
      <c r="L928" s="75"/>
      <c r="M928" s="75"/>
      <c r="N928" s="75"/>
      <c r="O928" s="102"/>
      <c r="P928" s="79"/>
      <c r="Q928" s="79"/>
      <c r="R928" s="79">
        <v>6</v>
      </c>
      <c r="S928" s="83" t="s">
        <v>1837</v>
      </c>
      <c r="T928" s="81" t="s">
        <v>398</v>
      </c>
      <c r="U928" s="79" t="s">
        <v>1838</v>
      </c>
      <c r="V928" s="79" t="s">
        <v>731</v>
      </c>
      <c r="W928" s="87"/>
      <c r="X928" s="87"/>
    </row>
    <row r="929" spans="1:24" hidden="1">
      <c r="A929" s="117" t="s">
        <v>1835</v>
      </c>
      <c r="B929" s="75"/>
      <c r="C929" s="75"/>
      <c r="D929" s="75"/>
      <c r="E929" s="75"/>
      <c r="F929" s="318"/>
      <c r="G929" s="407"/>
      <c r="H929" s="75"/>
      <c r="I929" s="412"/>
      <c r="J929" s="420"/>
      <c r="K929" s="75"/>
      <c r="L929" s="75"/>
      <c r="M929" s="75"/>
      <c r="N929" s="75"/>
      <c r="O929" s="102"/>
      <c r="P929" s="79"/>
      <c r="Q929" s="79"/>
      <c r="R929" s="79">
        <v>5</v>
      </c>
      <c r="S929" s="83" t="s">
        <v>463</v>
      </c>
      <c r="T929" s="81">
        <v>13</v>
      </c>
      <c r="U929" s="79"/>
      <c r="V929" s="79" t="s">
        <v>731</v>
      </c>
      <c r="W929" s="87"/>
      <c r="X929" s="87"/>
    </row>
    <row r="930" spans="1:24" hidden="1">
      <c r="A930" s="117" t="s">
        <v>1835</v>
      </c>
      <c r="B930" s="75"/>
      <c r="C930" s="75"/>
      <c r="D930" s="75"/>
      <c r="E930" s="75"/>
      <c r="F930" s="318"/>
      <c r="G930" s="407"/>
      <c r="H930" s="75"/>
      <c r="I930" s="412"/>
      <c r="J930" s="420"/>
      <c r="K930" s="75"/>
      <c r="L930" s="75"/>
      <c r="M930" s="75"/>
      <c r="N930" s="75"/>
      <c r="O930" s="102"/>
      <c r="P930" s="79"/>
      <c r="Q930" s="79"/>
      <c r="R930" s="79">
        <v>5</v>
      </c>
      <c r="S930" s="83" t="s">
        <v>463</v>
      </c>
      <c r="T930" s="81">
        <v>13</v>
      </c>
      <c r="U930" s="79"/>
      <c r="V930" s="79" t="s">
        <v>731</v>
      </c>
      <c r="W930" s="87"/>
      <c r="X930" s="87"/>
    </row>
    <row r="931" spans="1:24" hidden="1">
      <c r="A931" s="117" t="s">
        <v>1839</v>
      </c>
      <c r="B931" s="75"/>
      <c r="C931" s="75"/>
      <c r="D931" s="75"/>
      <c r="E931" s="75"/>
      <c r="F931" s="318"/>
      <c r="G931" s="407"/>
      <c r="H931" s="75"/>
      <c r="I931" s="412"/>
      <c r="J931" s="420"/>
      <c r="K931" s="75"/>
      <c r="L931" s="75"/>
      <c r="M931" s="75"/>
      <c r="N931" s="75"/>
      <c r="O931" s="102"/>
      <c r="P931" s="79"/>
      <c r="Q931" s="79"/>
      <c r="R931" s="79">
        <v>5</v>
      </c>
      <c r="S931" s="83" t="s">
        <v>463</v>
      </c>
      <c r="T931" s="81">
        <v>14</v>
      </c>
      <c r="U931" s="79"/>
      <c r="V931" s="79" t="s">
        <v>731</v>
      </c>
      <c r="W931" s="87"/>
      <c r="X931" s="87"/>
    </row>
    <row r="932" spans="1:24" hidden="1">
      <c r="A932" s="117" t="s">
        <v>1839</v>
      </c>
      <c r="B932" s="75"/>
      <c r="C932" s="75"/>
      <c r="D932" s="75"/>
      <c r="E932" s="75"/>
      <c r="F932" s="318"/>
      <c r="G932" s="407"/>
      <c r="H932" s="75"/>
      <c r="I932" s="412"/>
      <c r="J932" s="420"/>
      <c r="K932" s="75"/>
      <c r="L932" s="75"/>
      <c r="M932" s="75"/>
      <c r="N932" s="75"/>
      <c r="O932" s="102"/>
      <c r="P932" s="79"/>
      <c r="Q932" s="79"/>
      <c r="R932" s="79">
        <v>6</v>
      </c>
      <c r="S932" s="83" t="s">
        <v>463</v>
      </c>
      <c r="T932" s="81">
        <v>14</v>
      </c>
      <c r="U932" s="79"/>
      <c r="V932" s="79" t="s">
        <v>731</v>
      </c>
      <c r="W932" s="87"/>
      <c r="X932" s="87"/>
    </row>
    <row r="933" spans="1:24" hidden="1">
      <c r="A933" s="117" t="s">
        <v>1839</v>
      </c>
      <c r="B933" s="75"/>
      <c r="C933" s="75"/>
      <c r="D933" s="75"/>
      <c r="E933" s="75"/>
      <c r="F933" s="318"/>
      <c r="G933" s="407"/>
      <c r="H933" s="75"/>
      <c r="I933" s="412"/>
      <c r="J933" s="420"/>
      <c r="K933" s="75"/>
      <c r="L933" s="75"/>
      <c r="M933" s="75"/>
      <c r="N933" s="75"/>
      <c r="O933" s="102"/>
      <c r="P933" s="79"/>
      <c r="Q933" s="79"/>
      <c r="R933" s="79">
        <v>6</v>
      </c>
      <c r="S933" s="83" t="s">
        <v>463</v>
      </c>
      <c r="T933" s="81">
        <v>14</v>
      </c>
      <c r="U933" s="79"/>
      <c r="V933" s="79" t="s">
        <v>731</v>
      </c>
      <c r="W933" s="87"/>
      <c r="X933" s="87"/>
    </row>
    <row r="934" spans="1:24" hidden="1">
      <c r="A934" s="117" t="s">
        <v>1839</v>
      </c>
      <c r="B934" s="75"/>
      <c r="C934" s="75"/>
      <c r="D934" s="75"/>
      <c r="E934" s="75"/>
      <c r="F934" s="318"/>
      <c r="G934" s="407"/>
      <c r="H934" s="75"/>
      <c r="I934" s="412"/>
      <c r="J934" s="420"/>
      <c r="K934" s="75"/>
      <c r="L934" s="75"/>
      <c r="M934" s="75"/>
      <c r="N934" s="75"/>
      <c r="O934" s="102"/>
      <c r="P934" s="79"/>
      <c r="Q934" s="79"/>
      <c r="R934" s="79">
        <v>5</v>
      </c>
      <c r="S934" s="83" t="s">
        <v>463</v>
      </c>
      <c r="T934" s="81">
        <v>14</v>
      </c>
      <c r="U934" s="79"/>
      <c r="V934" s="79" t="s">
        <v>731</v>
      </c>
      <c r="W934" s="87"/>
      <c r="X934" s="87"/>
    </row>
    <row r="935" spans="1:24" hidden="1">
      <c r="A935" s="117" t="s">
        <v>1840</v>
      </c>
      <c r="B935" s="75"/>
      <c r="C935" s="75"/>
      <c r="D935" s="75"/>
      <c r="E935" s="75"/>
      <c r="F935" s="318"/>
      <c r="G935" s="407"/>
      <c r="H935" s="75"/>
      <c r="I935" s="412"/>
      <c r="J935" s="420"/>
      <c r="K935" s="75"/>
      <c r="L935" s="75"/>
      <c r="M935" s="75"/>
      <c r="N935" s="75"/>
      <c r="O935" s="102"/>
      <c r="P935" s="79"/>
      <c r="Q935" s="79"/>
      <c r="R935" s="79">
        <v>6</v>
      </c>
      <c r="S935" s="83" t="s">
        <v>1841</v>
      </c>
      <c r="T935" s="81">
        <v>25</v>
      </c>
      <c r="U935" s="79"/>
      <c r="V935" s="79" t="s">
        <v>731</v>
      </c>
      <c r="W935" s="87"/>
      <c r="X935" s="87"/>
    </row>
    <row r="936" spans="1:24" hidden="1">
      <c r="A936" s="117" t="s">
        <v>1842</v>
      </c>
      <c r="B936" s="75"/>
      <c r="C936" s="75"/>
      <c r="D936" s="75"/>
      <c r="E936" s="75"/>
      <c r="F936" s="318"/>
      <c r="G936" s="407"/>
      <c r="H936" s="75"/>
      <c r="I936" s="412"/>
      <c r="J936" s="420"/>
      <c r="K936" s="75"/>
      <c r="L936" s="75"/>
      <c r="M936" s="75"/>
      <c r="N936" s="75"/>
      <c r="O936" s="102"/>
      <c r="P936" s="79"/>
      <c r="Q936" s="79"/>
      <c r="R936" s="79">
        <v>4</v>
      </c>
      <c r="S936" s="83" t="s">
        <v>1841</v>
      </c>
      <c r="T936" s="81" t="s">
        <v>100</v>
      </c>
      <c r="U936" s="79" t="s">
        <v>1843</v>
      </c>
      <c r="V936" s="79" t="s">
        <v>731</v>
      </c>
      <c r="W936" s="87"/>
      <c r="X936" s="87"/>
    </row>
    <row r="937" spans="1:24" hidden="1">
      <c r="A937" s="117" t="s">
        <v>1844</v>
      </c>
      <c r="B937" s="75"/>
      <c r="C937" s="75"/>
      <c r="D937" s="75"/>
      <c r="E937" s="75"/>
      <c r="F937" s="318"/>
      <c r="G937" s="407"/>
      <c r="H937" s="75"/>
      <c r="I937" s="412"/>
      <c r="J937" s="420"/>
      <c r="K937" s="75"/>
      <c r="L937" s="75"/>
      <c r="M937" s="75"/>
      <c r="N937" s="75"/>
      <c r="O937" s="102"/>
      <c r="P937" s="79"/>
      <c r="Q937" s="79"/>
      <c r="R937" s="79">
        <v>2</v>
      </c>
      <c r="S937" s="83" t="s">
        <v>729</v>
      </c>
      <c r="T937" s="81" t="s">
        <v>1845</v>
      </c>
      <c r="U937" s="79" t="s">
        <v>1846</v>
      </c>
      <c r="V937" s="79" t="s">
        <v>731</v>
      </c>
      <c r="W937" s="87"/>
      <c r="X937" s="87"/>
    </row>
    <row r="938" spans="1:24" ht="25.5" hidden="1">
      <c r="A938" s="117" t="s">
        <v>1847</v>
      </c>
      <c r="B938" s="75"/>
      <c r="C938" s="75"/>
      <c r="D938" s="75"/>
      <c r="E938" s="75"/>
      <c r="F938" s="318"/>
      <c r="G938" s="407"/>
      <c r="H938" s="75"/>
      <c r="I938" s="412"/>
      <c r="J938" s="420"/>
      <c r="K938" s="75"/>
      <c r="L938" s="75"/>
      <c r="M938" s="75"/>
      <c r="N938" s="75"/>
      <c r="O938" s="102"/>
      <c r="P938" s="79"/>
      <c r="Q938" s="79"/>
      <c r="R938" s="79">
        <v>5</v>
      </c>
      <c r="S938" s="83" t="s">
        <v>820</v>
      </c>
      <c r="T938" s="104" t="s">
        <v>1848</v>
      </c>
      <c r="U938" s="79" t="s">
        <v>1849</v>
      </c>
      <c r="V938" s="79" t="s">
        <v>731</v>
      </c>
      <c r="W938" s="87"/>
      <c r="X938" s="87"/>
    </row>
    <row r="939" spans="1:24" ht="25.5" hidden="1">
      <c r="A939" s="117" t="s">
        <v>1850</v>
      </c>
      <c r="B939" s="75"/>
      <c r="C939" s="75"/>
      <c r="D939" s="75"/>
      <c r="E939" s="75"/>
      <c r="F939" s="318"/>
      <c r="G939" s="407"/>
      <c r="H939" s="75"/>
      <c r="I939" s="412"/>
      <c r="J939" s="420"/>
      <c r="K939" s="75"/>
      <c r="L939" s="75"/>
      <c r="M939" s="75"/>
      <c r="N939" s="75"/>
      <c r="O939" s="102"/>
      <c r="P939" s="79"/>
      <c r="Q939" s="79"/>
      <c r="R939" s="79">
        <v>7</v>
      </c>
      <c r="S939" s="83" t="s">
        <v>820</v>
      </c>
      <c r="T939" s="104" t="s">
        <v>1851</v>
      </c>
      <c r="U939" s="79" t="s">
        <v>1852</v>
      </c>
      <c r="V939" s="79" t="s">
        <v>731</v>
      </c>
      <c r="W939" s="87"/>
      <c r="X939" s="87"/>
    </row>
    <row r="940" spans="1:24" hidden="1">
      <c r="A940" s="117" t="s">
        <v>1853</v>
      </c>
      <c r="B940" s="75"/>
      <c r="C940" s="75"/>
      <c r="D940" s="75"/>
      <c r="E940" s="75"/>
      <c r="F940" s="318"/>
      <c r="G940" s="407"/>
      <c r="H940" s="75"/>
      <c r="I940" s="412"/>
      <c r="J940" s="420"/>
      <c r="K940" s="75"/>
      <c r="L940" s="75"/>
      <c r="M940" s="75"/>
      <c r="N940" s="75"/>
      <c r="O940" s="102"/>
      <c r="P940" s="79"/>
      <c r="Q940" s="79"/>
      <c r="R940" s="79">
        <v>9</v>
      </c>
      <c r="S940" s="83" t="s">
        <v>820</v>
      </c>
      <c r="T940" s="104">
        <v>13</v>
      </c>
      <c r="U940" s="79" t="s">
        <v>1854</v>
      </c>
      <c r="V940" s="79" t="s">
        <v>731</v>
      </c>
      <c r="W940" s="87"/>
      <c r="X940" s="87"/>
    </row>
    <row r="941" spans="1:24" hidden="1">
      <c r="A941" s="117" t="s">
        <v>1855</v>
      </c>
      <c r="B941" s="75"/>
      <c r="C941" s="75"/>
      <c r="D941" s="75"/>
      <c r="E941" s="75"/>
      <c r="F941" s="318"/>
      <c r="G941" s="407"/>
      <c r="H941" s="75"/>
      <c r="I941" s="412"/>
      <c r="J941" s="420"/>
      <c r="K941" s="75"/>
      <c r="L941" s="75"/>
      <c r="M941" s="75"/>
      <c r="N941" s="75"/>
      <c r="O941" s="102"/>
      <c r="P941" s="79"/>
      <c r="Q941" s="79"/>
      <c r="R941" s="79">
        <v>6</v>
      </c>
      <c r="S941" s="83" t="s">
        <v>839</v>
      </c>
      <c r="T941" s="104" t="s">
        <v>113</v>
      </c>
      <c r="U941" s="79" t="s">
        <v>1856</v>
      </c>
      <c r="V941" s="79" t="s">
        <v>731</v>
      </c>
      <c r="W941" s="87"/>
      <c r="X941" s="87"/>
    </row>
    <row r="942" spans="1:24" ht="25.5" hidden="1">
      <c r="A942" s="117" t="s">
        <v>1857</v>
      </c>
      <c r="B942" s="75"/>
      <c r="C942" s="75"/>
      <c r="D942" s="75"/>
      <c r="E942" s="75"/>
      <c r="F942" s="318"/>
      <c r="G942" s="407"/>
      <c r="H942" s="75"/>
      <c r="I942" s="412"/>
      <c r="J942" s="420"/>
      <c r="K942" s="75"/>
      <c r="L942" s="75"/>
      <c r="M942" s="75"/>
      <c r="N942" s="75"/>
      <c r="O942" s="102"/>
      <c r="P942" s="79"/>
      <c r="Q942" s="79"/>
      <c r="R942" s="79">
        <v>6</v>
      </c>
      <c r="S942" s="83" t="s">
        <v>874</v>
      </c>
      <c r="T942" s="104" t="s">
        <v>100</v>
      </c>
      <c r="U942" s="79" t="s">
        <v>1858</v>
      </c>
      <c r="V942" s="79" t="s">
        <v>731</v>
      </c>
      <c r="X942" s="87"/>
    </row>
    <row r="943" spans="1:24" hidden="1">
      <c r="A943" s="117" t="s">
        <v>1859</v>
      </c>
      <c r="B943" s="75"/>
      <c r="C943" s="75"/>
      <c r="D943" s="75"/>
      <c r="E943" s="75"/>
      <c r="F943" s="318"/>
      <c r="G943" s="407"/>
      <c r="H943" s="75"/>
      <c r="I943" s="412"/>
      <c r="J943" s="420"/>
      <c r="K943" s="75"/>
      <c r="L943" s="75"/>
      <c r="M943" s="75"/>
      <c r="N943" s="75"/>
      <c r="O943" s="102"/>
      <c r="P943" s="79"/>
      <c r="Q943" s="79"/>
      <c r="R943" s="79">
        <v>6</v>
      </c>
      <c r="S943" s="83" t="s">
        <v>820</v>
      </c>
      <c r="T943" s="104">
        <v>16</v>
      </c>
      <c r="U943" s="79" t="s">
        <v>1860</v>
      </c>
      <c r="V943" s="79" t="s">
        <v>731</v>
      </c>
      <c r="X943" s="87"/>
    </row>
    <row r="944" spans="1:24" ht="25.5" hidden="1">
      <c r="A944" s="117" t="s">
        <v>1861</v>
      </c>
      <c r="B944" s="75"/>
      <c r="C944" s="75"/>
      <c r="D944" s="75"/>
      <c r="E944" s="75"/>
      <c r="F944" s="318"/>
      <c r="G944" s="407"/>
      <c r="H944" s="75"/>
      <c r="I944" s="412"/>
      <c r="J944" s="420"/>
      <c r="K944" s="75"/>
      <c r="L944" s="75"/>
      <c r="M944" s="75"/>
      <c r="N944" s="75"/>
      <c r="O944" s="102"/>
      <c r="P944" s="79"/>
      <c r="Q944" s="79"/>
      <c r="R944" s="79">
        <v>4</v>
      </c>
      <c r="S944" s="83" t="s">
        <v>1862</v>
      </c>
      <c r="T944" s="81" t="s">
        <v>398</v>
      </c>
      <c r="U944" s="79" t="s">
        <v>1863</v>
      </c>
      <c r="V944" s="79" t="s">
        <v>731</v>
      </c>
      <c r="X944" s="87"/>
    </row>
    <row r="945" spans="1:24" ht="25.5" hidden="1">
      <c r="A945" s="117" t="s">
        <v>1864</v>
      </c>
      <c r="B945" s="75"/>
      <c r="C945" s="75"/>
      <c r="D945" s="75"/>
      <c r="E945" s="75"/>
      <c r="F945" s="318"/>
      <c r="G945" s="407"/>
      <c r="H945" s="75"/>
      <c r="I945" s="412"/>
      <c r="J945" s="420"/>
      <c r="K945" s="75"/>
      <c r="L945" s="75"/>
      <c r="M945" s="75"/>
      <c r="N945" s="75"/>
      <c r="O945" s="102"/>
      <c r="P945" s="79"/>
      <c r="Q945" s="79"/>
      <c r="R945" s="79">
        <v>4</v>
      </c>
      <c r="S945" s="83" t="s">
        <v>778</v>
      </c>
      <c r="T945" s="104" t="s">
        <v>1865</v>
      </c>
      <c r="U945" s="79" t="s">
        <v>1866</v>
      </c>
      <c r="V945" s="79" t="s">
        <v>731</v>
      </c>
      <c r="X945" s="87"/>
    </row>
    <row r="946" spans="1:24" ht="25.5" hidden="1">
      <c r="A946" s="117" t="s">
        <v>1867</v>
      </c>
      <c r="B946" s="75"/>
      <c r="C946" s="75"/>
      <c r="D946" s="75"/>
      <c r="E946" s="75"/>
      <c r="F946" s="318"/>
      <c r="G946" s="407"/>
      <c r="H946" s="75"/>
      <c r="I946" s="412"/>
      <c r="J946" s="420"/>
      <c r="K946" s="75"/>
      <c r="L946" s="75"/>
      <c r="M946" s="75"/>
      <c r="N946" s="75"/>
      <c r="O946" s="102"/>
      <c r="P946" s="79"/>
      <c r="Q946" s="79"/>
      <c r="R946" s="79">
        <v>6</v>
      </c>
      <c r="S946" s="83" t="s">
        <v>955</v>
      </c>
      <c r="T946" s="81" t="s">
        <v>100</v>
      </c>
      <c r="U946" s="79" t="s">
        <v>1868</v>
      </c>
      <c r="V946" s="79" t="s">
        <v>731</v>
      </c>
      <c r="X946" s="87"/>
    </row>
    <row r="947" spans="1:24" hidden="1">
      <c r="A947" s="117" t="s">
        <v>1867</v>
      </c>
      <c r="B947" s="75"/>
      <c r="C947" s="75"/>
      <c r="D947" s="75"/>
      <c r="E947" s="75"/>
      <c r="F947" s="318"/>
      <c r="G947" s="407"/>
      <c r="H947" s="75"/>
      <c r="I947" s="412"/>
      <c r="J947" s="420"/>
      <c r="K947" s="75"/>
      <c r="L947" s="75"/>
      <c r="M947" s="75"/>
      <c r="N947" s="75"/>
      <c r="O947" s="102"/>
      <c r="P947" s="79"/>
      <c r="Q947" s="79"/>
      <c r="R947" s="79">
        <v>4</v>
      </c>
      <c r="S947" s="83" t="s">
        <v>955</v>
      </c>
      <c r="T947" s="81" t="s">
        <v>100</v>
      </c>
      <c r="U947" s="79" t="s">
        <v>1869</v>
      </c>
      <c r="V947" s="79" t="s">
        <v>731</v>
      </c>
      <c r="X947" s="87"/>
    </row>
    <row r="948" spans="1:24" hidden="1">
      <c r="A948" s="117" t="s">
        <v>1870</v>
      </c>
      <c r="B948" s="75"/>
      <c r="C948" s="75"/>
      <c r="D948" s="75"/>
      <c r="E948" s="75"/>
      <c r="F948" s="318"/>
      <c r="G948" s="407"/>
      <c r="H948" s="75"/>
      <c r="I948" s="412"/>
      <c r="J948" s="420"/>
      <c r="K948" s="75"/>
      <c r="L948" s="75"/>
      <c r="M948" s="75"/>
      <c r="N948" s="75"/>
      <c r="O948" s="102"/>
      <c r="P948" s="79"/>
      <c r="Q948" s="79"/>
      <c r="R948" s="79">
        <v>6</v>
      </c>
      <c r="S948" s="83" t="s">
        <v>955</v>
      </c>
      <c r="T948" s="81" t="s">
        <v>100</v>
      </c>
      <c r="U948" s="79" t="s">
        <v>1871</v>
      </c>
      <c r="V948" s="79" t="s">
        <v>731</v>
      </c>
      <c r="X948" s="87"/>
    </row>
    <row r="949" spans="1:24" ht="25.5" hidden="1">
      <c r="A949" s="117" t="s">
        <v>1872</v>
      </c>
      <c r="B949" s="75"/>
      <c r="C949" s="75"/>
      <c r="D949" s="75"/>
      <c r="E949" s="75"/>
      <c r="F949" s="318"/>
      <c r="G949" s="407"/>
      <c r="H949" s="75"/>
      <c r="I949" s="412"/>
      <c r="J949" s="420"/>
      <c r="K949" s="75"/>
      <c r="L949" s="75"/>
      <c r="M949" s="75"/>
      <c r="N949" s="75"/>
      <c r="O949" s="102"/>
      <c r="P949" s="79"/>
      <c r="Q949" s="79"/>
      <c r="R949" s="79">
        <v>6</v>
      </c>
      <c r="S949" s="83" t="s">
        <v>955</v>
      </c>
      <c r="T949" s="81" t="s">
        <v>100</v>
      </c>
      <c r="U949" s="79" t="s">
        <v>1873</v>
      </c>
      <c r="V949" s="79" t="s">
        <v>731</v>
      </c>
      <c r="X949" s="87"/>
    </row>
    <row r="950" spans="1:24" ht="25.5" hidden="1">
      <c r="A950" s="117" t="s">
        <v>1874</v>
      </c>
      <c r="B950" s="75"/>
      <c r="C950" s="75"/>
      <c r="D950" s="75"/>
      <c r="E950" s="75"/>
      <c r="F950" s="318"/>
      <c r="G950" s="407"/>
      <c r="H950" s="75"/>
      <c r="I950" s="412"/>
      <c r="J950" s="420"/>
      <c r="K950" s="75"/>
      <c r="L950" s="75"/>
      <c r="M950" s="75"/>
      <c r="N950" s="75"/>
      <c r="O950" s="102"/>
      <c r="P950" s="79"/>
      <c r="Q950" s="79"/>
      <c r="R950" s="79">
        <v>6</v>
      </c>
      <c r="S950" s="83" t="s">
        <v>955</v>
      </c>
      <c r="T950" s="81" t="s">
        <v>100</v>
      </c>
      <c r="U950" s="79" t="s">
        <v>1875</v>
      </c>
      <c r="V950" s="79" t="s">
        <v>731</v>
      </c>
      <c r="X950" s="87"/>
    </row>
    <row r="951" spans="1:24" ht="25.5" hidden="1">
      <c r="A951" s="117" t="s">
        <v>1876</v>
      </c>
      <c r="B951" s="75"/>
      <c r="C951" s="75"/>
      <c r="D951" s="75"/>
      <c r="E951" s="75"/>
      <c r="F951" s="318"/>
      <c r="G951" s="407"/>
      <c r="H951" s="75"/>
      <c r="I951" s="412"/>
      <c r="J951" s="420"/>
      <c r="K951" s="75"/>
      <c r="L951" s="75"/>
      <c r="M951" s="75"/>
      <c r="N951" s="75"/>
      <c r="O951" s="102"/>
      <c r="P951" s="79"/>
      <c r="Q951" s="79"/>
      <c r="R951" s="79">
        <v>6</v>
      </c>
      <c r="S951" s="83" t="s">
        <v>955</v>
      </c>
      <c r="T951" s="81" t="s">
        <v>100</v>
      </c>
      <c r="U951" s="79" t="s">
        <v>1877</v>
      </c>
      <c r="V951" s="79" t="s">
        <v>731</v>
      </c>
      <c r="X951" s="87"/>
    </row>
    <row r="952" spans="1:24" hidden="1">
      <c r="A952" s="117" t="s">
        <v>1878</v>
      </c>
      <c r="B952" s="75"/>
      <c r="C952" s="75"/>
      <c r="D952" s="75"/>
      <c r="E952" s="75"/>
      <c r="F952" s="318"/>
      <c r="G952" s="407"/>
      <c r="H952" s="75"/>
      <c r="I952" s="412"/>
      <c r="J952" s="420"/>
      <c r="K952" s="75"/>
      <c r="L952" s="75"/>
      <c r="M952" s="75"/>
      <c r="N952" s="75"/>
      <c r="O952" s="102"/>
      <c r="P952" s="79"/>
      <c r="Q952" s="79"/>
      <c r="R952" s="79">
        <v>3</v>
      </c>
      <c r="S952" s="83" t="s">
        <v>309</v>
      </c>
      <c r="T952" s="81" t="s">
        <v>285</v>
      </c>
      <c r="U952" s="79" t="s">
        <v>1879</v>
      </c>
      <c r="V952" s="79" t="s">
        <v>731</v>
      </c>
      <c r="X952" s="87"/>
    </row>
    <row r="953" spans="1:24" hidden="1">
      <c r="A953" s="117" t="s">
        <v>1878</v>
      </c>
      <c r="B953" s="75"/>
      <c r="C953" s="75"/>
      <c r="D953" s="75"/>
      <c r="E953" s="75"/>
      <c r="F953" s="318"/>
      <c r="G953" s="407"/>
      <c r="H953" s="75"/>
      <c r="I953" s="412"/>
      <c r="J953" s="420"/>
      <c r="K953" s="75"/>
      <c r="L953" s="75"/>
      <c r="M953" s="75"/>
      <c r="N953" s="75"/>
      <c r="O953" s="102"/>
      <c r="P953" s="79"/>
      <c r="Q953" s="79"/>
      <c r="R953" s="79">
        <v>3</v>
      </c>
      <c r="S953" s="83" t="s">
        <v>309</v>
      </c>
      <c r="T953" s="81" t="s">
        <v>285</v>
      </c>
      <c r="U953" s="79" t="s">
        <v>1879</v>
      </c>
      <c r="V953" s="79" t="s">
        <v>731</v>
      </c>
      <c r="X953" s="87"/>
    </row>
    <row r="954" spans="1:24" hidden="1">
      <c r="A954" s="117" t="s">
        <v>1880</v>
      </c>
      <c r="B954" s="75"/>
      <c r="C954" s="75"/>
      <c r="D954" s="75"/>
      <c r="E954" s="75"/>
      <c r="F954" s="318"/>
      <c r="G954" s="407"/>
      <c r="H954" s="75"/>
      <c r="I954" s="412"/>
      <c r="J954" s="420"/>
      <c r="K954" s="75"/>
      <c r="L954" s="75"/>
      <c r="M954" s="75"/>
      <c r="N954" s="75"/>
      <c r="O954" s="102"/>
      <c r="P954" s="79"/>
      <c r="Q954" s="79"/>
      <c r="R954" s="79">
        <v>3</v>
      </c>
      <c r="S954" s="83" t="s">
        <v>309</v>
      </c>
      <c r="T954" s="81" t="s">
        <v>285</v>
      </c>
      <c r="U954" s="79" t="s">
        <v>1881</v>
      </c>
      <c r="V954" s="79" t="s">
        <v>731</v>
      </c>
      <c r="X954" s="87"/>
    </row>
    <row r="955" spans="1:24" hidden="1">
      <c r="A955" s="117" t="s">
        <v>1880</v>
      </c>
      <c r="B955" s="75"/>
      <c r="C955" s="75"/>
      <c r="D955" s="75"/>
      <c r="E955" s="75"/>
      <c r="F955" s="318"/>
      <c r="G955" s="407"/>
      <c r="H955" s="75"/>
      <c r="I955" s="412"/>
      <c r="J955" s="420"/>
      <c r="K955" s="75"/>
      <c r="L955" s="75"/>
      <c r="M955" s="75"/>
      <c r="N955" s="75"/>
      <c r="O955" s="102"/>
      <c r="P955" s="79"/>
      <c r="Q955" s="79"/>
      <c r="R955" s="79">
        <v>4</v>
      </c>
      <c r="S955" s="83" t="s">
        <v>309</v>
      </c>
      <c r="T955" s="81" t="s">
        <v>285</v>
      </c>
      <c r="U955" s="79" t="s">
        <v>1881</v>
      </c>
      <c r="V955" s="79" t="s">
        <v>731</v>
      </c>
      <c r="X955" s="87"/>
    </row>
    <row r="956" spans="1:24" ht="25.5" hidden="1">
      <c r="A956" s="118" t="s">
        <v>1882</v>
      </c>
      <c r="B956" s="75"/>
      <c r="C956" s="75"/>
      <c r="D956" s="75"/>
      <c r="E956" s="75"/>
      <c r="F956" s="318"/>
      <c r="G956" s="407"/>
      <c r="H956" s="75"/>
      <c r="I956" s="412"/>
      <c r="J956" s="420"/>
      <c r="K956" s="75"/>
      <c r="L956" s="75"/>
      <c r="M956" s="75"/>
      <c r="N956" s="75"/>
      <c r="O956" s="102"/>
      <c r="P956" s="79"/>
      <c r="Q956" s="79"/>
      <c r="R956" s="79">
        <v>6</v>
      </c>
      <c r="S956" s="83" t="s">
        <v>1883</v>
      </c>
      <c r="T956" s="81" t="s">
        <v>1884</v>
      </c>
      <c r="U956" s="79" t="s">
        <v>1885</v>
      </c>
      <c r="V956" s="79" t="s">
        <v>1886</v>
      </c>
      <c r="X956" s="87"/>
    </row>
    <row r="957" spans="1:24" ht="25.5" hidden="1">
      <c r="A957" s="118" t="s">
        <v>1887</v>
      </c>
      <c r="B957" s="75"/>
      <c r="C957" s="75"/>
      <c r="D957" s="75"/>
      <c r="E957" s="75"/>
      <c r="F957" s="318"/>
      <c r="G957" s="407"/>
      <c r="H957" s="75"/>
      <c r="I957" s="412"/>
      <c r="J957" s="420"/>
      <c r="K957" s="75"/>
      <c r="L957" s="75"/>
      <c r="M957" s="75"/>
      <c r="N957" s="75"/>
      <c r="O957" s="102"/>
      <c r="P957" s="79"/>
      <c r="Q957" s="79"/>
      <c r="R957" s="79">
        <v>6</v>
      </c>
      <c r="S957" s="83" t="s">
        <v>1888</v>
      </c>
      <c r="T957" s="81" t="s">
        <v>1889</v>
      </c>
      <c r="U957" s="79" t="s">
        <v>1890</v>
      </c>
      <c r="V957" s="79" t="s">
        <v>1886</v>
      </c>
      <c r="X957" s="87"/>
    </row>
    <row r="958" spans="1:24" ht="25.5" hidden="1">
      <c r="A958" s="119" t="s">
        <v>1891</v>
      </c>
      <c r="B958" s="75"/>
      <c r="C958" s="75"/>
      <c r="D958" s="75"/>
      <c r="E958" s="75"/>
      <c r="F958" s="318"/>
      <c r="G958" s="407"/>
      <c r="H958" s="75"/>
      <c r="I958" s="412"/>
      <c r="J958" s="420"/>
      <c r="K958" s="75"/>
      <c r="L958" s="75"/>
      <c r="M958" s="75"/>
      <c r="N958" s="75"/>
      <c r="O958" s="102"/>
      <c r="P958" s="79"/>
      <c r="Q958" s="79"/>
      <c r="R958" s="79"/>
      <c r="S958" s="120" t="s">
        <v>393</v>
      </c>
      <c r="T958" s="81" t="s">
        <v>398</v>
      </c>
      <c r="U958" s="79" t="s">
        <v>1892</v>
      </c>
      <c r="V958" s="79" t="s">
        <v>1893</v>
      </c>
      <c r="X958" s="87"/>
    </row>
    <row r="959" spans="1:24" hidden="1">
      <c r="A959" s="119" t="s">
        <v>1652</v>
      </c>
      <c r="B959" s="75"/>
      <c r="C959" s="75"/>
      <c r="D959" s="75"/>
      <c r="E959" s="75"/>
      <c r="F959" s="318"/>
      <c r="G959" s="407"/>
      <c r="H959" s="75"/>
      <c r="I959" s="412"/>
      <c r="J959" s="420"/>
      <c r="K959" s="75"/>
      <c r="L959" s="75"/>
      <c r="M959" s="75"/>
      <c r="N959" s="75"/>
      <c r="O959" s="102"/>
      <c r="P959" s="79"/>
      <c r="Q959" s="79"/>
      <c r="R959" s="79"/>
      <c r="S959" s="120" t="s">
        <v>393</v>
      </c>
      <c r="T959" s="81" t="s">
        <v>113</v>
      </c>
      <c r="U959" s="79" t="s">
        <v>1894</v>
      </c>
      <c r="V959" s="79" t="s">
        <v>1893</v>
      </c>
      <c r="X959" s="87"/>
    </row>
    <row r="960" spans="1:24" hidden="1">
      <c r="A960" s="119" t="s">
        <v>1895</v>
      </c>
      <c r="B960" s="75"/>
      <c r="C960" s="75"/>
      <c r="D960" s="75"/>
      <c r="E960" s="75"/>
      <c r="F960" s="318"/>
      <c r="G960" s="407"/>
      <c r="H960" s="75"/>
      <c r="I960" s="412"/>
      <c r="J960" s="420"/>
      <c r="K960" s="75"/>
      <c r="L960" s="75"/>
      <c r="M960" s="75"/>
      <c r="N960" s="75"/>
      <c r="O960" s="102"/>
      <c r="P960" s="79"/>
      <c r="Q960" s="79"/>
      <c r="R960" s="79"/>
      <c r="S960" s="120" t="s">
        <v>820</v>
      </c>
      <c r="T960" s="104" t="s">
        <v>285</v>
      </c>
      <c r="U960" s="79" t="s">
        <v>1896</v>
      </c>
      <c r="V960" s="79" t="s">
        <v>1893</v>
      </c>
      <c r="X960" s="87"/>
    </row>
    <row r="961" spans="1:24" hidden="1">
      <c r="A961" s="119" t="s">
        <v>1897</v>
      </c>
      <c r="B961" s="75"/>
      <c r="C961" s="75"/>
      <c r="D961" s="75"/>
      <c r="E961" s="75"/>
      <c r="F961" s="318"/>
      <c r="G961" s="407"/>
      <c r="H961" s="75"/>
      <c r="I961" s="412"/>
      <c r="J961" s="420"/>
      <c r="K961" s="75"/>
      <c r="L961" s="75"/>
      <c r="M961" s="75"/>
      <c r="N961" s="75"/>
      <c r="O961" s="102"/>
      <c r="P961" s="79"/>
      <c r="Q961" s="79"/>
      <c r="R961" s="79"/>
      <c r="S961" s="120" t="s">
        <v>1597</v>
      </c>
      <c r="T961" s="81" t="s">
        <v>1898</v>
      </c>
      <c r="U961" s="79" t="s">
        <v>1899</v>
      </c>
      <c r="V961" s="79" t="s">
        <v>1893</v>
      </c>
      <c r="X961" s="87"/>
    </row>
    <row r="962" spans="1:24" ht="25.5" hidden="1">
      <c r="A962" s="119" t="s">
        <v>1900</v>
      </c>
      <c r="B962" s="75"/>
      <c r="C962" s="75"/>
      <c r="D962" s="75"/>
      <c r="E962" s="75"/>
      <c r="F962" s="318"/>
      <c r="G962" s="407"/>
      <c r="H962" s="75"/>
      <c r="I962" s="412"/>
      <c r="J962" s="420"/>
      <c r="K962" s="75"/>
      <c r="L962" s="75"/>
      <c r="M962" s="75"/>
      <c r="N962" s="75"/>
      <c r="O962" s="102"/>
      <c r="P962" s="79"/>
      <c r="Q962" s="79"/>
      <c r="R962" s="79"/>
      <c r="S962" s="120" t="s">
        <v>1901</v>
      </c>
      <c r="T962" s="81" t="s">
        <v>1902</v>
      </c>
      <c r="U962" s="65" t="s">
        <v>1903</v>
      </c>
      <c r="V962" s="79" t="s">
        <v>1893</v>
      </c>
      <c r="X962" s="87"/>
    </row>
    <row r="963" spans="1:24" hidden="1">
      <c r="A963" s="119" t="s">
        <v>1904</v>
      </c>
      <c r="B963" s="75"/>
      <c r="C963" s="75"/>
      <c r="D963" s="75"/>
      <c r="E963" s="75"/>
      <c r="F963" s="318"/>
      <c r="G963" s="407"/>
      <c r="H963" s="75"/>
      <c r="I963" s="412"/>
      <c r="J963" s="420"/>
      <c r="K963" s="75"/>
      <c r="L963" s="75"/>
      <c r="M963" s="75"/>
      <c r="N963" s="75"/>
      <c r="O963" s="102"/>
      <c r="P963" s="79"/>
      <c r="Q963" s="79"/>
      <c r="R963" s="79"/>
      <c r="S963" s="120" t="s">
        <v>309</v>
      </c>
      <c r="T963" s="81" t="s">
        <v>285</v>
      </c>
      <c r="U963" s="65" t="s">
        <v>1905</v>
      </c>
      <c r="V963" s="79" t="s">
        <v>1893</v>
      </c>
      <c r="X963" s="87"/>
    </row>
    <row r="964" spans="1:24" hidden="1">
      <c r="A964" s="119" t="s">
        <v>1906</v>
      </c>
      <c r="B964" s="75"/>
      <c r="C964" s="75"/>
      <c r="D964" s="75"/>
      <c r="E964" s="75"/>
      <c r="F964" s="318"/>
      <c r="G964" s="407"/>
      <c r="H964" s="75"/>
      <c r="I964" s="412"/>
      <c r="J964" s="420"/>
      <c r="K964" s="75"/>
      <c r="L964" s="75"/>
      <c r="M964" s="75"/>
      <c r="N964" s="75"/>
      <c r="O964" s="102"/>
      <c r="P964" s="79"/>
      <c r="Q964" s="79"/>
      <c r="R964" s="79"/>
      <c r="S964" s="120" t="s">
        <v>1128</v>
      </c>
      <c r="T964" s="81" t="s">
        <v>113</v>
      </c>
      <c r="U964" s="65" t="s">
        <v>1907</v>
      </c>
      <c r="V964" s="79" t="s">
        <v>1893</v>
      </c>
      <c r="X964" s="87"/>
    </row>
    <row r="965" spans="1:24" hidden="1">
      <c r="A965" s="119" t="s">
        <v>1908</v>
      </c>
      <c r="B965" s="75"/>
      <c r="C965" s="75"/>
      <c r="D965" s="75"/>
      <c r="E965" s="75"/>
      <c r="F965" s="318"/>
      <c r="G965" s="407"/>
      <c r="H965" s="75"/>
      <c r="I965" s="412"/>
      <c r="J965" s="420"/>
      <c r="K965" s="75"/>
      <c r="L965" s="75"/>
      <c r="M965" s="75"/>
      <c r="N965" s="75"/>
      <c r="O965" s="102"/>
      <c r="P965" s="79"/>
      <c r="Q965" s="79"/>
      <c r="R965" s="79"/>
      <c r="S965" s="120" t="s">
        <v>1128</v>
      </c>
      <c r="T965" s="81" t="s">
        <v>113</v>
      </c>
      <c r="U965" s="65" t="s">
        <v>1909</v>
      </c>
      <c r="V965" s="79" t="s">
        <v>1893</v>
      </c>
      <c r="X965" s="87"/>
    </row>
    <row r="966" spans="1:24" hidden="1">
      <c r="A966" s="119" t="s">
        <v>1910</v>
      </c>
      <c r="B966" s="75"/>
      <c r="C966" s="75"/>
      <c r="D966" s="75"/>
      <c r="E966" s="75"/>
      <c r="F966" s="318"/>
      <c r="G966" s="407"/>
      <c r="H966" s="75"/>
      <c r="I966" s="412"/>
      <c r="J966" s="420"/>
      <c r="K966" s="75"/>
      <c r="L966" s="75"/>
      <c r="M966" s="75"/>
      <c r="N966" s="75"/>
      <c r="O966" s="102"/>
      <c r="P966" s="79"/>
      <c r="Q966" s="79"/>
      <c r="R966" s="79"/>
      <c r="S966" s="120" t="s">
        <v>1168</v>
      </c>
      <c r="T966" s="81" t="s">
        <v>113</v>
      </c>
      <c r="U966" s="65" t="s">
        <v>1911</v>
      </c>
      <c r="V966" s="79" t="s">
        <v>1893</v>
      </c>
      <c r="X966" s="87"/>
    </row>
    <row r="967" spans="1:24" hidden="1">
      <c r="A967" s="119" t="s">
        <v>1912</v>
      </c>
      <c r="B967" s="75"/>
      <c r="C967" s="75"/>
      <c r="D967" s="75"/>
      <c r="E967" s="75"/>
      <c r="F967" s="318"/>
      <c r="G967" s="407"/>
      <c r="H967" s="75"/>
      <c r="I967" s="412"/>
      <c r="J967" s="420"/>
      <c r="K967" s="75"/>
      <c r="L967" s="75"/>
      <c r="M967" s="75"/>
      <c r="N967" s="75"/>
      <c r="O967" s="102"/>
      <c r="P967" s="79"/>
      <c r="Q967" s="79"/>
      <c r="R967" s="79"/>
      <c r="S967" s="120" t="s">
        <v>1168</v>
      </c>
      <c r="T967" s="81" t="s">
        <v>113</v>
      </c>
      <c r="U967" s="65" t="s">
        <v>1913</v>
      </c>
      <c r="V967" s="79" t="s">
        <v>1893</v>
      </c>
      <c r="X967" s="87"/>
    </row>
    <row r="968" spans="1:24" hidden="1">
      <c r="A968" s="119" t="s">
        <v>1914</v>
      </c>
      <c r="B968" s="75"/>
      <c r="C968" s="75"/>
      <c r="D968" s="75"/>
      <c r="E968" s="75"/>
      <c r="F968" s="318"/>
      <c r="G968" s="407"/>
      <c r="H968" s="75"/>
      <c r="I968" s="412"/>
      <c r="J968" s="420"/>
      <c r="K968" s="75"/>
      <c r="L968" s="75"/>
      <c r="M968" s="75"/>
      <c r="N968" s="75"/>
      <c r="O968" s="102"/>
      <c r="P968" s="79"/>
      <c r="Q968" s="79"/>
      <c r="R968" s="79"/>
      <c r="S968" s="120" t="s">
        <v>1218</v>
      </c>
      <c r="T968" s="81" t="s">
        <v>113</v>
      </c>
      <c r="U968" s="65" t="s">
        <v>1915</v>
      </c>
      <c r="V968" s="79" t="s">
        <v>1893</v>
      </c>
      <c r="X968" s="87"/>
    </row>
    <row r="969" spans="1:24" hidden="1">
      <c r="A969" s="119" t="s">
        <v>1916</v>
      </c>
      <c r="B969" s="75"/>
      <c r="C969" s="75"/>
      <c r="D969" s="75"/>
      <c r="E969" s="75"/>
      <c r="F969" s="318"/>
      <c r="G969" s="407"/>
      <c r="H969" s="75"/>
      <c r="I969" s="412"/>
      <c r="J969" s="420"/>
      <c r="K969" s="75"/>
      <c r="L969" s="75"/>
      <c r="M969" s="75"/>
      <c r="N969" s="75"/>
      <c r="O969" s="102"/>
      <c r="P969" s="79"/>
      <c r="Q969" s="79"/>
      <c r="R969" s="79"/>
      <c r="S969" s="120" t="s">
        <v>1218</v>
      </c>
      <c r="T969" s="81" t="s">
        <v>113</v>
      </c>
      <c r="U969" s="65" t="s">
        <v>1917</v>
      </c>
      <c r="V969" s="79" t="s">
        <v>1893</v>
      </c>
      <c r="X969" s="87"/>
    </row>
    <row r="970" spans="1:24" hidden="1">
      <c r="A970" s="119" t="s">
        <v>1918</v>
      </c>
      <c r="B970" s="75"/>
      <c r="C970" s="75"/>
      <c r="D970" s="75"/>
      <c r="E970" s="75"/>
      <c r="F970" s="318"/>
      <c r="G970" s="407"/>
      <c r="H970" s="75"/>
      <c r="I970" s="412"/>
      <c r="J970" s="420"/>
      <c r="K970" s="75"/>
      <c r="L970" s="75"/>
      <c r="M970" s="75"/>
      <c r="N970" s="75"/>
      <c r="O970" s="102"/>
      <c r="P970" s="79"/>
      <c r="Q970" s="79"/>
      <c r="R970" s="79"/>
      <c r="S970" s="120" t="s">
        <v>1919</v>
      </c>
      <c r="T970" s="81" t="s">
        <v>113</v>
      </c>
      <c r="U970" s="79" t="s">
        <v>1920</v>
      </c>
      <c r="V970" s="79" t="s">
        <v>1893</v>
      </c>
      <c r="X970" s="87"/>
    </row>
    <row r="971" spans="1:24" ht="38.25" hidden="1">
      <c r="A971" s="121" t="s">
        <v>1921</v>
      </c>
      <c r="B971" s="75"/>
      <c r="C971" s="75"/>
      <c r="D971" s="75"/>
      <c r="E971" s="75"/>
      <c r="F971" s="318"/>
      <c r="G971" s="407"/>
      <c r="H971" s="75"/>
      <c r="I971" s="412"/>
      <c r="J971" s="420"/>
      <c r="K971" s="75"/>
      <c r="L971" s="75"/>
      <c r="M971" s="75"/>
      <c r="N971" s="75"/>
      <c r="O971" s="102"/>
      <c r="P971" s="79"/>
      <c r="Q971" s="79"/>
      <c r="R971" s="79">
        <v>14</v>
      </c>
      <c r="S971" s="120" t="s">
        <v>1922</v>
      </c>
      <c r="T971" s="81" t="s">
        <v>100</v>
      </c>
      <c r="U971" s="79" t="s">
        <v>1923</v>
      </c>
      <c r="V971" s="79" t="s">
        <v>1924</v>
      </c>
    </row>
    <row r="972" spans="1:24" hidden="1">
      <c r="A972" s="121" t="s">
        <v>1925</v>
      </c>
      <c r="B972" s="75"/>
      <c r="C972" s="75"/>
      <c r="D972" s="75"/>
      <c r="E972" s="75"/>
      <c r="F972" s="318"/>
      <c r="G972" s="407"/>
      <c r="H972" s="75"/>
      <c r="I972" s="412"/>
      <c r="J972" s="420"/>
      <c r="K972" s="75"/>
      <c r="L972" s="75"/>
      <c r="M972" s="75"/>
      <c r="N972" s="75"/>
      <c r="O972" s="102"/>
      <c r="P972" s="79"/>
      <c r="Q972" s="79"/>
      <c r="R972" s="79">
        <v>8</v>
      </c>
      <c r="S972" s="120" t="s">
        <v>1926</v>
      </c>
      <c r="T972" s="81" t="s">
        <v>1927</v>
      </c>
      <c r="U972" s="79"/>
      <c r="V972" s="79" t="s">
        <v>1928</v>
      </c>
    </row>
    <row r="973" spans="1:24" hidden="1">
      <c r="A973" s="121" t="s">
        <v>1929</v>
      </c>
      <c r="B973" s="75"/>
      <c r="C973" s="75"/>
      <c r="D973" s="75"/>
      <c r="E973" s="75"/>
      <c r="F973" s="318"/>
      <c r="G973" s="407"/>
      <c r="H973" s="75"/>
      <c r="I973" s="412"/>
      <c r="J973" s="420"/>
      <c r="K973" s="75"/>
      <c r="L973" s="75"/>
      <c r="M973" s="75"/>
      <c r="N973" s="75"/>
      <c r="O973" s="102"/>
      <c r="P973" s="79"/>
      <c r="Q973" s="79"/>
      <c r="R973" s="79">
        <v>4</v>
      </c>
      <c r="S973" s="120" t="s">
        <v>820</v>
      </c>
      <c r="T973" s="81" t="s">
        <v>100</v>
      </c>
      <c r="U973" s="79" t="s">
        <v>1930</v>
      </c>
      <c r="V973" s="79" t="s">
        <v>1931</v>
      </c>
    </row>
    <row r="974" spans="1:24">
      <c r="A974" s="110"/>
      <c r="B974" s="111"/>
      <c r="C974" s="111"/>
      <c r="D974" s="111"/>
      <c r="E974" s="111"/>
      <c r="F974" s="318"/>
      <c r="G974" s="407"/>
      <c r="H974" s="111"/>
      <c r="I974" s="412"/>
      <c r="J974" s="420"/>
      <c r="K974" s="111"/>
      <c r="L974" s="111"/>
      <c r="M974" s="111"/>
      <c r="N974" s="111"/>
      <c r="O974" s="102"/>
      <c r="P974" s="79"/>
      <c r="Q974" s="79"/>
      <c r="R974" s="79"/>
      <c r="S974" s="83"/>
      <c r="T974" s="104"/>
      <c r="U974" s="79"/>
      <c r="V974" s="79"/>
    </row>
    <row r="975" spans="1:24">
      <c r="A975" s="110" t="s">
        <v>54</v>
      </c>
      <c r="B975" s="75">
        <v>17</v>
      </c>
      <c r="C975" s="75">
        <v>24</v>
      </c>
      <c r="D975" s="75"/>
      <c r="E975" s="75">
        <v>14</v>
      </c>
      <c r="F975" s="318"/>
      <c r="G975" s="407">
        <v>17</v>
      </c>
      <c r="H975" s="75">
        <v>17</v>
      </c>
      <c r="I975" s="412">
        <v>5</v>
      </c>
      <c r="J975" s="419">
        <v>19</v>
      </c>
      <c r="K975" s="75"/>
      <c r="L975" s="75"/>
      <c r="M975" s="75"/>
      <c r="N975" s="75"/>
      <c r="O975" s="102"/>
      <c r="P975" s="79"/>
      <c r="Q975" s="79"/>
      <c r="R975" s="79"/>
      <c r="S975" s="116" t="s">
        <v>1932</v>
      </c>
      <c r="T975" s="104"/>
      <c r="U975" s="79"/>
      <c r="V975" s="79"/>
    </row>
    <row r="976" spans="1:24">
      <c r="A976" s="110" t="s">
        <v>1933</v>
      </c>
      <c r="B976" s="75"/>
      <c r="C976" s="75"/>
      <c r="D976" s="75"/>
      <c r="E976" s="75"/>
      <c r="F976" s="318"/>
      <c r="G976" s="407"/>
      <c r="H976" s="75"/>
      <c r="I976" s="412"/>
      <c r="J976" s="419"/>
      <c r="K976" s="75"/>
      <c r="L976" s="75"/>
      <c r="M976" s="75"/>
      <c r="N976" s="75"/>
      <c r="O976" s="102"/>
      <c r="P976" s="79"/>
      <c r="Q976" s="79"/>
      <c r="R976" s="79"/>
      <c r="S976" s="116" t="s">
        <v>1934</v>
      </c>
      <c r="T976" s="104"/>
      <c r="U976" s="79"/>
      <c r="V976" s="79"/>
    </row>
    <row r="977" spans="1:24">
      <c r="A977" s="110" t="s">
        <v>1935</v>
      </c>
      <c r="B977" s="75"/>
      <c r="C977" s="75"/>
      <c r="D977" s="75"/>
      <c r="E977" s="75"/>
      <c r="F977" s="318"/>
      <c r="G977" s="407"/>
      <c r="H977" s="75"/>
      <c r="I977" s="412"/>
      <c r="J977" s="419"/>
      <c r="K977" s="75"/>
      <c r="L977" s="75"/>
      <c r="M977" s="75"/>
      <c r="N977" s="75"/>
      <c r="O977" s="102"/>
      <c r="P977" s="79"/>
      <c r="Q977" s="79"/>
      <c r="R977" s="79"/>
      <c r="S977" s="116" t="s">
        <v>1936</v>
      </c>
      <c r="T977" s="104"/>
      <c r="U977" s="79"/>
      <c r="V977" s="79"/>
      <c r="W977" s="87" t="s">
        <v>1937</v>
      </c>
      <c r="X977" s="87" t="s">
        <v>104</v>
      </c>
    </row>
    <row r="978" spans="1:24">
      <c r="A978" s="110" t="s">
        <v>1935</v>
      </c>
      <c r="B978" s="75"/>
      <c r="C978" s="75"/>
      <c r="D978" s="75"/>
      <c r="E978" s="75"/>
      <c r="F978" s="318"/>
      <c r="G978" s="407"/>
      <c r="H978" s="75"/>
      <c r="I978" s="412"/>
      <c r="J978" s="419"/>
      <c r="K978" s="75"/>
      <c r="L978" s="75"/>
      <c r="M978" s="75"/>
      <c r="N978" s="75"/>
      <c r="O978" s="102"/>
      <c r="P978" s="79"/>
      <c r="Q978" s="79"/>
      <c r="R978" s="79"/>
      <c r="S978" s="116" t="s">
        <v>1936</v>
      </c>
      <c r="T978" s="104"/>
      <c r="U978" s="79"/>
      <c r="V978" s="79"/>
      <c r="W978" s="87" t="s">
        <v>1937</v>
      </c>
      <c r="X978" s="87" t="s">
        <v>104</v>
      </c>
    </row>
    <row r="979" spans="1:24">
      <c r="A979" s="110" t="s">
        <v>1938</v>
      </c>
      <c r="B979" s="75"/>
      <c r="C979" s="75"/>
      <c r="D979" s="75"/>
      <c r="E979" s="75"/>
      <c r="F979" s="318"/>
      <c r="G979" s="407"/>
      <c r="H979" s="75"/>
      <c r="I979" s="412"/>
      <c r="J979" s="419"/>
      <c r="K979" s="75"/>
      <c r="L979" s="75"/>
      <c r="M979" s="75"/>
      <c r="N979" s="75"/>
      <c r="O979" s="102"/>
      <c r="P979" s="79"/>
      <c r="Q979" s="79"/>
      <c r="R979" s="79"/>
      <c r="S979" s="116" t="s">
        <v>1939</v>
      </c>
      <c r="T979" s="104"/>
      <c r="U979" s="79"/>
      <c r="V979" s="79"/>
      <c r="W979" s="87" t="s">
        <v>1937</v>
      </c>
      <c r="X979" s="87" t="s">
        <v>104</v>
      </c>
    </row>
    <row r="980" spans="1:24">
      <c r="A980" s="110" t="s">
        <v>1940</v>
      </c>
      <c r="B980" s="75"/>
      <c r="C980" s="75"/>
      <c r="D980" s="75"/>
      <c r="E980" s="75"/>
      <c r="F980" s="318"/>
      <c r="G980" s="407"/>
      <c r="H980" s="75"/>
      <c r="I980" s="412"/>
      <c r="J980" s="419"/>
      <c r="K980" s="75"/>
      <c r="L980" s="75"/>
      <c r="M980" s="75"/>
      <c r="N980" s="75"/>
      <c r="O980" s="102"/>
      <c r="P980" s="79"/>
      <c r="Q980" s="79"/>
      <c r="R980" s="79"/>
      <c r="S980" s="116" t="s">
        <v>1941</v>
      </c>
      <c r="T980" s="104"/>
      <c r="U980" s="79"/>
      <c r="V980" s="79"/>
    </row>
    <row r="981" spans="1:24">
      <c r="A981" s="110" t="s">
        <v>1940</v>
      </c>
      <c r="B981" s="75"/>
      <c r="C981" s="75"/>
      <c r="D981" s="75"/>
      <c r="E981" s="75"/>
      <c r="F981" s="318"/>
      <c r="G981" s="407"/>
      <c r="H981" s="75"/>
      <c r="I981" s="412"/>
      <c r="J981" s="419"/>
      <c r="K981" s="75"/>
      <c r="L981" s="75"/>
      <c r="M981" s="75"/>
      <c r="N981" s="75"/>
      <c r="O981" s="102"/>
      <c r="P981" s="79"/>
      <c r="Q981" s="79"/>
      <c r="R981" s="79"/>
      <c r="S981" s="116" t="s">
        <v>1941</v>
      </c>
      <c r="T981" s="104"/>
      <c r="U981" s="79"/>
      <c r="V981" s="79"/>
    </row>
    <row r="982" spans="1:24">
      <c r="A982" s="110" t="s">
        <v>1940</v>
      </c>
      <c r="B982" s="75"/>
      <c r="C982" s="75"/>
      <c r="D982" s="75"/>
      <c r="E982" s="75"/>
      <c r="F982" s="318"/>
      <c r="G982" s="407"/>
      <c r="H982" s="75"/>
      <c r="I982" s="412"/>
      <c r="J982" s="419"/>
      <c r="K982" s="75"/>
      <c r="L982" s="75"/>
      <c r="M982" s="75"/>
      <c r="N982" s="75"/>
      <c r="O982" s="102"/>
      <c r="P982" s="79"/>
      <c r="Q982" s="79"/>
      <c r="R982" s="79"/>
      <c r="S982" s="116" t="s">
        <v>1941</v>
      </c>
      <c r="T982" s="104"/>
      <c r="U982" s="79"/>
      <c r="V982" s="79"/>
    </row>
    <row r="983" spans="1:24">
      <c r="A983" s="110" t="s">
        <v>1942</v>
      </c>
      <c r="B983" s="75"/>
      <c r="C983" s="75"/>
      <c r="D983" s="75"/>
      <c r="E983" s="75"/>
      <c r="F983" s="318"/>
      <c r="G983" s="407"/>
      <c r="H983" s="75"/>
      <c r="I983" s="412"/>
      <c r="J983" s="419"/>
      <c r="K983" s="75"/>
      <c r="L983" s="75"/>
      <c r="M983" s="75"/>
      <c r="N983" s="75"/>
      <c r="O983" s="102"/>
      <c r="P983" s="79"/>
      <c r="Q983" s="79"/>
      <c r="R983" s="79"/>
      <c r="S983" s="116" t="s">
        <v>1943</v>
      </c>
      <c r="T983" s="104"/>
      <c r="U983" s="79"/>
      <c r="V983" s="79"/>
    </row>
    <row r="984" spans="1:24">
      <c r="A984" s="110" t="s">
        <v>1942</v>
      </c>
      <c r="B984" s="75"/>
      <c r="C984" s="75"/>
      <c r="D984" s="75"/>
      <c r="E984" s="75"/>
      <c r="F984" s="318"/>
      <c r="G984" s="407"/>
      <c r="H984" s="75"/>
      <c r="I984" s="412"/>
      <c r="J984" s="419"/>
      <c r="K984" s="75"/>
      <c r="L984" s="75"/>
      <c r="M984" s="75"/>
      <c r="N984" s="75"/>
      <c r="O984" s="102"/>
      <c r="P984" s="79"/>
      <c r="Q984" s="79"/>
      <c r="R984" s="79"/>
      <c r="S984" s="116" t="s">
        <v>1943</v>
      </c>
      <c r="T984" s="104"/>
      <c r="U984" s="79"/>
      <c r="V984" s="79"/>
    </row>
    <row r="985" spans="1:24">
      <c r="A985" s="110" t="s">
        <v>1944</v>
      </c>
      <c r="B985" s="75">
        <v>1</v>
      </c>
      <c r="C985" s="75">
        <f>$B985</f>
        <v>1</v>
      </c>
      <c r="D985" s="75">
        <f t="shared" ref="D985:N997" si="0">$B985</f>
        <v>1</v>
      </c>
      <c r="E985" s="75">
        <f t="shared" si="0"/>
        <v>1</v>
      </c>
      <c r="F985" s="318">
        <f t="shared" si="0"/>
        <v>1</v>
      </c>
      <c r="G985" s="407">
        <f t="shared" si="0"/>
        <v>1</v>
      </c>
      <c r="H985" s="75">
        <f t="shared" si="0"/>
        <v>1</v>
      </c>
      <c r="I985" s="412">
        <f t="shared" si="0"/>
        <v>1</v>
      </c>
      <c r="J985" s="419">
        <f t="shared" si="0"/>
        <v>1</v>
      </c>
      <c r="K985" s="75">
        <f t="shared" si="0"/>
        <v>1</v>
      </c>
      <c r="L985" s="75">
        <f t="shared" si="0"/>
        <v>1</v>
      </c>
      <c r="M985" s="75">
        <f t="shared" si="0"/>
        <v>1</v>
      </c>
      <c r="N985" s="75">
        <f t="shared" si="0"/>
        <v>1</v>
      </c>
      <c r="O985" s="102"/>
      <c r="P985" s="79"/>
      <c r="Q985" s="79"/>
      <c r="R985" s="79"/>
      <c r="S985" s="83" t="s">
        <v>1944</v>
      </c>
      <c r="T985" s="104"/>
      <c r="U985" s="79"/>
      <c r="V985" s="79"/>
    </row>
    <row r="986" spans="1:24">
      <c r="A986" s="110" t="s">
        <v>1944</v>
      </c>
      <c r="B986" s="75">
        <v>2</v>
      </c>
      <c r="C986" s="75">
        <f t="shared" ref="C986:C997" si="1">$B986</f>
        <v>2</v>
      </c>
      <c r="D986" s="75">
        <f t="shared" si="0"/>
        <v>2</v>
      </c>
      <c r="E986" s="75">
        <f t="shared" si="0"/>
        <v>2</v>
      </c>
      <c r="F986" s="318">
        <f t="shared" si="0"/>
        <v>2</v>
      </c>
      <c r="G986" s="407">
        <f t="shared" si="0"/>
        <v>2</v>
      </c>
      <c r="H986" s="75">
        <f t="shared" si="0"/>
        <v>2</v>
      </c>
      <c r="I986" s="412">
        <f t="shared" si="0"/>
        <v>2</v>
      </c>
      <c r="J986" s="419">
        <f t="shared" si="0"/>
        <v>2</v>
      </c>
      <c r="K986" s="75">
        <f t="shared" si="0"/>
        <v>2</v>
      </c>
      <c r="L986" s="75">
        <f t="shared" si="0"/>
        <v>2</v>
      </c>
      <c r="M986" s="75">
        <f t="shared" si="0"/>
        <v>2</v>
      </c>
      <c r="N986" s="75">
        <f t="shared" si="0"/>
        <v>2</v>
      </c>
      <c r="O986" s="102"/>
      <c r="P986" s="79"/>
      <c r="Q986" s="79"/>
      <c r="R986" s="79"/>
      <c r="S986" s="83" t="s">
        <v>1944</v>
      </c>
      <c r="T986" s="104"/>
      <c r="U986" s="79"/>
      <c r="V986" s="79"/>
    </row>
    <row r="987" spans="1:24">
      <c r="A987" s="110" t="s">
        <v>1944</v>
      </c>
      <c r="B987" s="75">
        <v>8</v>
      </c>
      <c r="C987" s="75">
        <f t="shared" si="1"/>
        <v>8</v>
      </c>
      <c r="D987" s="75">
        <f t="shared" si="0"/>
        <v>8</v>
      </c>
      <c r="E987" s="75">
        <f t="shared" si="0"/>
        <v>8</v>
      </c>
      <c r="F987" s="318">
        <f t="shared" si="0"/>
        <v>8</v>
      </c>
      <c r="G987" s="407">
        <f t="shared" si="0"/>
        <v>8</v>
      </c>
      <c r="H987" s="75">
        <f t="shared" si="0"/>
        <v>8</v>
      </c>
      <c r="I987" s="412">
        <f t="shared" si="0"/>
        <v>8</v>
      </c>
      <c r="J987" s="419">
        <f t="shared" si="0"/>
        <v>8</v>
      </c>
      <c r="K987" s="75">
        <f t="shared" si="0"/>
        <v>8</v>
      </c>
      <c r="L987" s="75">
        <f t="shared" si="0"/>
        <v>8</v>
      </c>
      <c r="M987" s="75">
        <f t="shared" si="0"/>
        <v>8</v>
      </c>
      <c r="N987" s="75">
        <f t="shared" si="0"/>
        <v>8</v>
      </c>
      <c r="O987" s="102"/>
      <c r="P987" s="79"/>
      <c r="Q987" s="79"/>
      <c r="R987" s="79"/>
      <c r="S987" s="83" t="s">
        <v>1944</v>
      </c>
      <c r="T987" s="104"/>
      <c r="U987" s="79"/>
      <c r="V987" s="79"/>
    </row>
    <row r="988" spans="1:24">
      <c r="A988" s="110" t="s">
        <v>1944</v>
      </c>
      <c r="B988" s="75">
        <v>9</v>
      </c>
      <c r="C988" s="75">
        <f t="shared" si="1"/>
        <v>9</v>
      </c>
      <c r="D988" s="75">
        <f t="shared" si="0"/>
        <v>9</v>
      </c>
      <c r="E988" s="75">
        <f t="shared" si="0"/>
        <v>9</v>
      </c>
      <c r="F988" s="318">
        <f t="shared" si="0"/>
        <v>9</v>
      </c>
      <c r="G988" s="407">
        <f t="shared" si="0"/>
        <v>9</v>
      </c>
      <c r="H988" s="75">
        <f t="shared" si="0"/>
        <v>9</v>
      </c>
      <c r="I988" s="412">
        <f t="shared" si="0"/>
        <v>9</v>
      </c>
      <c r="J988" s="419">
        <f t="shared" si="0"/>
        <v>9</v>
      </c>
      <c r="K988" s="75">
        <f t="shared" si="0"/>
        <v>9</v>
      </c>
      <c r="L988" s="75">
        <f t="shared" si="0"/>
        <v>9</v>
      </c>
      <c r="M988" s="75">
        <f t="shared" si="0"/>
        <v>9</v>
      </c>
      <c r="N988" s="75">
        <f t="shared" si="0"/>
        <v>9</v>
      </c>
      <c r="O988" s="102"/>
      <c r="P988" s="79"/>
      <c r="Q988" s="79"/>
      <c r="R988" s="79"/>
      <c r="S988" s="83" t="s">
        <v>1944</v>
      </c>
      <c r="T988" s="104"/>
      <c r="U988" s="79"/>
      <c r="V988" s="79"/>
    </row>
    <row r="989" spans="1:24">
      <c r="A989" s="110" t="s">
        <v>1944</v>
      </c>
      <c r="B989" s="75">
        <v>15</v>
      </c>
      <c r="C989" s="75">
        <f t="shared" si="1"/>
        <v>15</v>
      </c>
      <c r="D989" s="75">
        <f t="shared" si="0"/>
        <v>15</v>
      </c>
      <c r="E989" s="75">
        <f t="shared" si="0"/>
        <v>15</v>
      </c>
      <c r="F989" s="318">
        <f t="shared" si="0"/>
        <v>15</v>
      </c>
      <c r="G989" s="407">
        <f t="shared" si="0"/>
        <v>15</v>
      </c>
      <c r="H989" s="75">
        <f t="shared" si="0"/>
        <v>15</v>
      </c>
      <c r="I989" s="412">
        <f t="shared" si="0"/>
        <v>15</v>
      </c>
      <c r="J989" s="419">
        <f t="shared" si="0"/>
        <v>15</v>
      </c>
      <c r="K989" s="75">
        <f t="shared" si="0"/>
        <v>15</v>
      </c>
      <c r="L989" s="75">
        <f t="shared" si="0"/>
        <v>15</v>
      </c>
      <c r="M989" s="75">
        <f t="shared" si="0"/>
        <v>15</v>
      </c>
      <c r="N989" s="75">
        <f t="shared" si="0"/>
        <v>15</v>
      </c>
      <c r="O989" s="102"/>
      <c r="P989" s="79"/>
      <c r="Q989" s="79"/>
      <c r="R989" s="79"/>
      <c r="S989" s="83" t="s">
        <v>1944</v>
      </c>
      <c r="T989" s="104"/>
      <c r="U989" s="79"/>
      <c r="V989" s="79"/>
    </row>
    <row r="990" spans="1:24">
      <c r="A990" s="110" t="s">
        <v>1944</v>
      </c>
      <c r="B990" s="75">
        <v>16</v>
      </c>
      <c r="C990" s="75">
        <f t="shared" si="1"/>
        <v>16</v>
      </c>
      <c r="D990" s="75">
        <f t="shared" si="0"/>
        <v>16</v>
      </c>
      <c r="E990" s="75">
        <f t="shared" si="0"/>
        <v>16</v>
      </c>
      <c r="F990" s="318">
        <f t="shared" si="0"/>
        <v>16</v>
      </c>
      <c r="G990" s="407">
        <f t="shared" si="0"/>
        <v>16</v>
      </c>
      <c r="H990" s="75">
        <f t="shared" si="0"/>
        <v>16</v>
      </c>
      <c r="I990" s="412">
        <f t="shared" si="0"/>
        <v>16</v>
      </c>
      <c r="J990" s="419">
        <f t="shared" si="0"/>
        <v>16</v>
      </c>
      <c r="K990" s="75">
        <f t="shared" si="0"/>
        <v>16</v>
      </c>
      <c r="L990" s="75">
        <f t="shared" si="0"/>
        <v>16</v>
      </c>
      <c r="M990" s="75">
        <f t="shared" si="0"/>
        <v>16</v>
      </c>
      <c r="N990" s="75">
        <f t="shared" si="0"/>
        <v>16</v>
      </c>
      <c r="O990" s="102"/>
      <c r="P990" s="79"/>
      <c r="Q990" s="79"/>
      <c r="R990" s="79"/>
      <c r="S990" s="83" t="s">
        <v>1944</v>
      </c>
      <c r="T990" s="104"/>
      <c r="U990" s="79"/>
      <c r="V990" s="79"/>
    </row>
    <row r="991" spans="1:24">
      <c r="A991" s="110" t="s">
        <v>1944</v>
      </c>
      <c r="B991" s="75">
        <v>22</v>
      </c>
      <c r="C991" s="75">
        <f t="shared" si="1"/>
        <v>22</v>
      </c>
      <c r="D991" s="75">
        <f t="shared" si="0"/>
        <v>22</v>
      </c>
      <c r="E991" s="75">
        <f t="shared" si="0"/>
        <v>22</v>
      </c>
      <c r="F991" s="318">
        <f t="shared" si="0"/>
        <v>22</v>
      </c>
      <c r="G991" s="407">
        <f t="shared" si="0"/>
        <v>22</v>
      </c>
      <c r="H991" s="75">
        <f t="shared" si="0"/>
        <v>22</v>
      </c>
      <c r="I991" s="412">
        <f t="shared" si="0"/>
        <v>22</v>
      </c>
      <c r="J991" s="419">
        <f t="shared" si="0"/>
        <v>22</v>
      </c>
      <c r="K991" s="75">
        <f t="shared" si="0"/>
        <v>22</v>
      </c>
      <c r="L991" s="75">
        <f t="shared" si="0"/>
        <v>22</v>
      </c>
      <c r="M991" s="75">
        <f t="shared" si="0"/>
        <v>22</v>
      </c>
      <c r="N991" s="75">
        <f t="shared" si="0"/>
        <v>22</v>
      </c>
      <c r="O991" s="102"/>
      <c r="P991" s="79"/>
      <c r="Q991" s="79"/>
      <c r="R991" s="79"/>
      <c r="S991" s="83" t="s">
        <v>1944</v>
      </c>
      <c r="T991" s="104"/>
      <c r="U991" s="79"/>
      <c r="V991" s="79"/>
    </row>
    <row r="992" spans="1:24">
      <c r="A992" s="110" t="s">
        <v>1944</v>
      </c>
      <c r="B992" s="75">
        <v>23</v>
      </c>
      <c r="C992" s="75">
        <f t="shared" si="1"/>
        <v>23</v>
      </c>
      <c r="D992" s="75">
        <f t="shared" si="0"/>
        <v>23</v>
      </c>
      <c r="E992" s="75">
        <f t="shared" si="0"/>
        <v>23</v>
      </c>
      <c r="F992" s="318">
        <f t="shared" si="0"/>
        <v>23</v>
      </c>
      <c r="G992" s="407">
        <f t="shared" si="0"/>
        <v>23</v>
      </c>
      <c r="H992" s="75">
        <f t="shared" si="0"/>
        <v>23</v>
      </c>
      <c r="I992" s="412">
        <f t="shared" si="0"/>
        <v>23</v>
      </c>
      <c r="J992" s="419">
        <f t="shared" si="0"/>
        <v>23</v>
      </c>
      <c r="K992" s="75">
        <f t="shared" si="0"/>
        <v>23</v>
      </c>
      <c r="L992" s="75">
        <f t="shared" si="0"/>
        <v>23</v>
      </c>
      <c r="M992" s="75">
        <f t="shared" si="0"/>
        <v>23</v>
      </c>
      <c r="N992" s="75">
        <f t="shared" si="0"/>
        <v>23</v>
      </c>
      <c r="O992" s="102"/>
      <c r="P992" s="79"/>
      <c r="Q992" s="79"/>
      <c r="R992" s="79"/>
      <c r="S992" s="83" t="s">
        <v>1944</v>
      </c>
      <c r="T992" s="104"/>
      <c r="U992" s="79"/>
      <c r="V992" s="79"/>
    </row>
    <row r="993" spans="1:22">
      <c r="A993" s="110" t="s">
        <v>1944</v>
      </c>
      <c r="B993" s="75">
        <v>29</v>
      </c>
      <c r="C993" s="75">
        <f t="shared" si="1"/>
        <v>29</v>
      </c>
      <c r="D993" s="75">
        <f t="shared" si="0"/>
        <v>29</v>
      </c>
      <c r="E993" s="75">
        <f t="shared" si="0"/>
        <v>29</v>
      </c>
      <c r="F993" s="318">
        <f t="shared" si="0"/>
        <v>29</v>
      </c>
      <c r="G993" s="407">
        <f t="shared" si="0"/>
        <v>29</v>
      </c>
      <c r="H993" s="75">
        <f t="shared" si="0"/>
        <v>29</v>
      </c>
      <c r="I993" s="412">
        <f t="shared" si="0"/>
        <v>29</v>
      </c>
      <c r="J993" s="419">
        <f t="shared" si="0"/>
        <v>29</v>
      </c>
      <c r="K993" s="75">
        <f t="shared" si="0"/>
        <v>29</v>
      </c>
      <c r="L993" s="75">
        <f t="shared" si="0"/>
        <v>29</v>
      </c>
      <c r="M993" s="75">
        <f t="shared" si="0"/>
        <v>29</v>
      </c>
      <c r="N993" s="75">
        <f t="shared" si="0"/>
        <v>29</v>
      </c>
      <c r="O993" s="102"/>
      <c r="P993" s="79"/>
      <c r="Q993" s="79"/>
      <c r="R993" s="79"/>
      <c r="S993" s="83" t="s">
        <v>1944</v>
      </c>
      <c r="T993" s="104"/>
      <c r="U993" s="79"/>
      <c r="V993" s="79"/>
    </row>
    <row r="994" spans="1:22">
      <c r="A994" s="110" t="s">
        <v>1944</v>
      </c>
      <c r="B994" s="75">
        <v>30</v>
      </c>
      <c r="C994" s="75">
        <f t="shared" si="1"/>
        <v>30</v>
      </c>
      <c r="D994" s="75">
        <f t="shared" si="0"/>
        <v>30</v>
      </c>
      <c r="E994" s="75">
        <f t="shared" si="0"/>
        <v>30</v>
      </c>
      <c r="F994" s="318">
        <f t="shared" si="0"/>
        <v>30</v>
      </c>
      <c r="G994" s="407">
        <f t="shared" si="0"/>
        <v>30</v>
      </c>
      <c r="H994" s="75">
        <f t="shared" si="0"/>
        <v>30</v>
      </c>
      <c r="I994" s="412">
        <f t="shared" si="0"/>
        <v>30</v>
      </c>
      <c r="J994" s="419">
        <f t="shared" si="0"/>
        <v>30</v>
      </c>
      <c r="K994" s="75">
        <f t="shared" si="0"/>
        <v>30</v>
      </c>
      <c r="L994" s="75">
        <f t="shared" si="0"/>
        <v>30</v>
      </c>
      <c r="M994" s="75">
        <f t="shared" si="0"/>
        <v>30</v>
      </c>
      <c r="N994" s="75">
        <f t="shared" si="0"/>
        <v>30</v>
      </c>
      <c r="O994" s="102"/>
      <c r="P994" s="79"/>
      <c r="Q994" s="79"/>
      <c r="R994" s="79"/>
      <c r="S994" s="83" t="s">
        <v>1944</v>
      </c>
      <c r="T994" s="104"/>
      <c r="U994" s="79"/>
      <c r="V994" s="79"/>
    </row>
    <row r="995" spans="1:22">
      <c r="A995" s="110" t="s">
        <v>1944</v>
      </c>
      <c r="B995" s="75"/>
      <c r="C995" s="75">
        <f t="shared" si="1"/>
        <v>0</v>
      </c>
      <c r="D995" s="75">
        <f t="shared" si="0"/>
        <v>0</v>
      </c>
      <c r="E995" s="75">
        <f t="shared" si="0"/>
        <v>0</v>
      </c>
      <c r="F995" s="318">
        <f t="shared" si="0"/>
        <v>0</v>
      </c>
      <c r="G995" s="407">
        <f t="shared" si="0"/>
        <v>0</v>
      </c>
      <c r="H995" s="75">
        <f t="shared" si="0"/>
        <v>0</v>
      </c>
      <c r="I995" s="412">
        <f t="shared" si="0"/>
        <v>0</v>
      </c>
      <c r="J995" s="419">
        <f t="shared" si="0"/>
        <v>0</v>
      </c>
      <c r="K995" s="75">
        <f t="shared" si="0"/>
        <v>0</v>
      </c>
      <c r="L995" s="75">
        <f t="shared" si="0"/>
        <v>0</v>
      </c>
      <c r="M995" s="75">
        <f t="shared" si="0"/>
        <v>0</v>
      </c>
      <c r="N995" s="75">
        <f t="shared" si="0"/>
        <v>0</v>
      </c>
      <c r="O995" s="102"/>
      <c r="P995" s="79"/>
      <c r="Q995" s="79"/>
      <c r="R995" s="79"/>
      <c r="S995" s="83" t="s">
        <v>1944</v>
      </c>
      <c r="T995" s="104"/>
      <c r="U995" s="79"/>
      <c r="V995" s="79"/>
    </row>
    <row r="996" spans="1:22">
      <c r="A996" s="110" t="s">
        <v>1944</v>
      </c>
      <c r="B996" s="75"/>
      <c r="C996" s="75">
        <f t="shared" si="1"/>
        <v>0</v>
      </c>
      <c r="D996" s="75">
        <f t="shared" si="0"/>
        <v>0</v>
      </c>
      <c r="E996" s="75">
        <f t="shared" si="0"/>
        <v>0</v>
      </c>
      <c r="F996" s="318">
        <f t="shared" si="0"/>
        <v>0</v>
      </c>
      <c r="G996" s="407">
        <f t="shared" si="0"/>
        <v>0</v>
      </c>
      <c r="H996" s="75">
        <f t="shared" si="0"/>
        <v>0</v>
      </c>
      <c r="I996" s="412">
        <f t="shared" si="0"/>
        <v>0</v>
      </c>
      <c r="J996" s="419">
        <f t="shared" si="0"/>
        <v>0</v>
      </c>
      <c r="K996" s="75">
        <f t="shared" si="0"/>
        <v>0</v>
      </c>
      <c r="L996" s="75">
        <f t="shared" si="0"/>
        <v>0</v>
      </c>
      <c r="M996" s="75">
        <f t="shared" si="0"/>
        <v>0</v>
      </c>
      <c r="N996" s="75">
        <f t="shared" si="0"/>
        <v>0</v>
      </c>
      <c r="O996" s="102"/>
      <c r="P996" s="79"/>
      <c r="Q996" s="79"/>
      <c r="R996" s="79"/>
      <c r="S996" s="83" t="s">
        <v>1944</v>
      </c>
      <c r="T996" s="104"/>
      <c r="U996" s="79"/>
      <c r="V996" s="79"/>
    </row>
    <row r="997" spans="1:22">
      <c r="A997" s="110" t="s">
        <v>1944</v>
      </c>
      <c r="B997" s="75"/>
      <c r="C997" s="75">
        <f t="shared" si="1"/>
        <v>0</v>
      </c>
      <c r="D997" s="75">
        <f t="shared" si="0"/>
        <v>0</v>
      </c>
      <c r="E997" s="75">
        <f t="shared" si="0"/>
        <v>0</v>
      </c>
      <c r="F997" s="318">
        <f t="shared" si="0"/>
        <v>0</v>
      </c>
      <c r="G997" s="407">
        <f t="shared" si="0"/>
        <v>0</v>
      </c>
      <c r="H997" s="75">
        <f t="shared" si="0"/>
        <v>0</v>
      </c>
      <c r="I997" s="412">
        <f t="shared" si="0"/>
        <v>0</v>
      </c>
      <c r="J997" s="419">
        <f t="shared" si="0"/>
        <v>0</v>
      </c>
      <c r="K997" s="75">
        <f t="shared" si="0"/>
        <v>0</v>
      </c>
      <c r="L997" s="75">
        <f t="shared" si="0"/>
        <v>0</v>
      </c>
      <c r="M997" s="75">
        <f t="shared" si="0"/>
        <v>0</v>
      </c>
      <c r="N997" s="75">
        <f t="shared" si="0"/>
        <v>0</v>
      </c>
      <c r="O997" s="102"/>
      <c r="P997" s="79"/>
      <c r="Q997" s="79"/>
      <c r="R997" s="79"/>
      <c r="S997" s="83" t="s">
        <v>1944</v>
      </c>
      <c r="T997" s="104"/>
      <c r="U997" s="79"/>
      <c r="V997" s="79"/>
    </row>
    <row r="998" spans="1:22">
      <c r="A998" s="110" t="s">
        <v>1945</v>
      </c>
      <c r="B998" s="75"/>
      <c r="C998" s="75"/>
      <c r="D998" s="75"/>
      <c r="E998" s="75"/>
      <c r="F998" s="318"/>
      <c r="G998" s="407"/>
      <c r="H998" s="75"/>
      <c r="I998" s="412"/>
      <c r="J998" s="419"/>
      <c r="K998" s="75"/>
      <c r="L998" s="75"/>
      <c r="M998" s="75"/>
      <c r="N998" s="75"/>
      <c r="S998" s="83" t="s">
        <v>1946</v>
      </c>
      <c r="T998" s="104"/>
      <c r="U998" s="79"/>
      <c r="V998" s="79"/>
    </row>
    <row r="999" spans="1:22">
      <c r="A999" s="110" t="s">
        <v>1945</v>
      </c>
      <c r="B999" s="75"/>
      <c r="C999" s="75"/>
      <c r="D999" s="75"/>
      <c r="E999" s="75"/>
      <c r="F999" s="318"/>
      <c r="G999" s="407"/>
      <c r="H999" s="75"/>
      <c r="I999" s="412"/>
      <c r="J999" s="419"/>
      <c r="K999" s="75"/>
      <c r="L999" s="75"/>
      <c r="M999" s="75"/>
      <c r="N999" s="75"/>
      <c r="S999" s="83" t="s">
        <v>1946</v>
      </c>
      <c r="T999" s="104"/>
      <c r="U999" s="79"/>
      <c r="V999" s="79"/>
    </row>
    <row r="1000" spans="1:22">
      <c r="A1000" s="110" t="s">
        <v>1947</v>
      </c>
      <c r="B1000" s="75">
        <v>31</v>
      </c>
      <c r="C1000" s="75">
        <f t="shared" ref="C1000:I1000" si="2">$B$1000</f>
        <v>31</v>
      </c>
      <c r="D1000" s="75">
        <f t="shared" si="2"/>
        <v>31</v>
      </c>
      <c r="E1000" s="75">
        <f t="shared" si="2"/>
        <v>31</v>
      </c>
      <c r="F1000" s="318">
        <f t="shared" si="2"/>
        <v>31</v>
      </c>
      <c r="G1000" s="407">
        <f t="shared" si="2"/>
        <v>31</v>
      </c>
      <c r="H1000" s="75">
        <f t="shared" si="2"/>
        <v>31</v>
      </c>
      <c r="I1000" s="412">
        <f t="shared" si="2"/>
        <v>31</v>
      </c>
      <c r="J1000" s="419">
        <f>$B$1000</f>
        <v>31</v>
      </c>
      <c r="K1000" s="75">
        <f>$B$1000</f>
        <v>31</v>
      </c>
      <c r="L1000" s="75">
        <f>$B$1000</f>
        <v>31</v>
      </c>
      <c r="M1000" s="75">
        <f>$B$1000</f>
        <v>31</v>
      </c>
      <c r="N1000" s="75">
        <f>$B$1000</f>
        <v>31</v>
      </c>
      <c r="S1000" s="83" t="s">
        <v>1947</v>
      </c>
      <c r="T1000" s="104"/>
      <c r="U1000" s="79"/>
      <c r="V1000" s="79"/>
    </row>
    <row r="1001" spans="1:22">
      <c r="A1001" s="110" t="s">
        <v>1947</v>
      </c>
      <c r="B1001" s="75"/>
      <c r="C1001" s="75">
        <v>0</v>
      </c>
      <c r="D1001" s="75">
        <v>0</v>
      </c>
      <c r="E1001" s="75">
        <v>0</v>
      </c>
      <c r="F1001" s="318">
        <v>0</v>
      </c>
      <c r="G1001" s="407">
        <v>0</v>
      </c>
      <c r="H1001" s="75">
        <v>0</v>
      </c>
      <c r="I1001" s="412">
        <v>0</v>
      </c>
      <c r="J1001" s="419"/>
      <c r="K1001" s="75"/>
      <c r="L1001" s="75"/>
      <c r="M1001" s="75"/>
      <c r="N1001" s="75"/>
      <c r="S1001" s="83" t="s">
        <v>1947</v>
      </c>
      <c r="T1001" s="104"/>
      <c r="U1001" s="79"/>
      <c r="V1001" s="79"/>
    </row>
    <row r="1002" spans="1:22">
      <c r="A1002" s="110" t="s">
        <v>1947</v>
      </c>
      <c r="B1002" s="75"/>
      <c r="C1002" s="75">
        <v>0</v>
      </c>
      <c r="D1002" s="75">
        <v>0</v>
      </c>
      <c r="E1002" s="75">
        <v>0</v>
      </c>
      <c r="F1002" s="318">
        <v>0</v>
      </c>
      <c r="G1002" s="407">
        <v>0</v>
      </c>
      <c r="H1002" s="75">
        <v>0</v>
      </c>
      <c r="I1002" s="412">
        <v>0</v>
      </c>
      <c r="J1002" s="419"/>
      <c r="K1002" s="75"/>
      <c r="L1002" s="75"/>
      <c r="M1002" s="75"/>
      <c r="N1002" s="75"/>
      <c r="S1002" s="83" t="s">
        <v>1947</v>
      </c>
      <c r="T1002" s="104"/>
      <c r="U1002" s="79"/>
      <c r="V1002" s="79"/>
    </row>
    <row r="1005" spans="1:22" hidden="1">
      <c r="A1005" s="110" t="s">
        <v>1948</v>
      </c>
      <c r="B1005" s="122"/>
      <c r="C1005" s="122"/>
      <c r="D1005" s="122"/>
      <c r="E1005" s="122"/>
      <c r="F1005" s="416"/>
      <c r="G1005" s="408"/>
      <c r="H1005" s="122"/>
      <c r="I1005" s="413"/>
      <c r="J1005" s="422"/>
      <c r="K1005" s="122"/>
      <c r="L1005" s="122"/>
      <c r="M1005" s="122"/>
      <c r="N1005" s="122" t="str">
        <f t="shared" ref="N1005:N1036" si="3">IF(COUNTIF(B$985:B$997,S1005)&gt;0,"",S1005)</f>
        <v/>
      </c>
      <c r="S1005" s="62">
        <v>1</v>
      </c>
    </row>
    <row r="1006" spans="1:22" hidden="1">
      <c r="A1006" s="110" t="s">
        <v>1948</v>
      </c>
      <c r="B1006" s="122"/>
      <c r="C1006" s="122"/>
      <c r="D1006" s="122"/>
      <c r="E1006" s="122"/>
      <c r="F1006" s="416"/>
      <c r="G1006" s="408"/>
      <c r="H1006" s="122"/>
      <c r="I1006" s="413"/>
      <c r="J1006" s="422"/>
      <c r="K1006" s="122"/>
      <c r="L1006" s="122"/>
      <c r="M1006" s="122"/>
      <c r="N1006" s="122" t="str">
        <f t="shared" si="3"/>
        <v/>
      </c>
      <c r="S1006" s="62">
        <v>1</v>
      </c>
    </row>
    <row r="1007" spans="1:22" hidden="1">
      <c r="A1007" s="110" t="s">
        <v>1948</v>
      </c>
      <c r="B1007" s="122"/>
      <c r="C1007" s="122"/>
      <c r="D1007" s="122"/>
      <c r="E1007" s="122"/>
      <c r="F1007" s="416"/>
      <c r="G1007" s="408"/>
      <c r="H1007" s="122"/>
      <c r="I1007" s="413"/>
      <c r="J1007" s="422"/>
      <c r="K1007" s="122"/>
      <c r="L1007" s="122"/>
      <c r="M1007" s="122"/>
      <c r="N1007" s="122" t="str">
        <f t="shared" si="3"/>
        <v/>
      </c>
      <c r="S1007" s="62">
        <v>1</v>
      </c>
    </row>
    <row r="1008" spans="1:22" hidden="1">
      <c r="A1008" s="110" t="s">
        <v>1948</v>
      </c>
      <c r="B1008" s="122"/>
      <c r="C1008" s="122"/>
      <c r="D1008" s="122"/>
      <c r="E1008" s="122"/>
      <c r="F1008" s="416"/>
      <c r="G1008" s="408"/>
      <c r="H1008" s="122"/>
      <c r="I1008" s="413"/>
      <c r="J1008" s="422"/>
      <c r="K1008" s="122"/>
      <c r="L1008" s="122"/>
      <c r="M1008" s="122"/>
      <c r="N1008" s="122" t="str">
        <f t="shared" si="3"/>
        <v/>
      </c>
      <c r="S1008" s="62">
        <v>2</v>
      </c>
    </row>
    <row r="1009" spans="1:19" hidden="1">
      <c r="A1009" s="110" t="s">
        <v>1948</v>
      </c>
      <c r="B1009" s="122"/>
      <c r="C1009" s="122"/>
      <c r="D1009" s="122"/>
      <c r="E1009" s="122"/>
      <c r="F1009" s="416"/>
      <c r="G1009" s="408"/>
      <c r="H1009" s="122"/>
      <c r="I1009" s="413"/>
      <c r="J1009" s="422"/>
      <c r="K1009" s="122"/>
      <c r="L1009" s="122"/>
      <c r="M1009" s="122"/>
      <c r="N1009" s="122" t="str">
        <f t="shared" si="3"/>
        <v/>
      </c>
      <c r="S1009" s="62">
        <v>2</v>
      </c>
    </row>
    <row r="1010" spans="1:19" hidden="1">
      <c r="A1010" s="110" t="s">
        <v>1948</v>
      </c>
      <c r="B1010" s="122"/>
      <c r="C1010" s="122"/>
      <c r="D1010" s="122"/>
      <c r="E1010" s="122"/>
      <c r="F1010" s="416"/>
      <c r="G1010" s="408"/>
      <c r="H1010" s="122"/>
      <c r="I1010" s="413"/>
      <c r="J1010" s="422"/>
      <c r="K1010" s="122"/>
      <c r="L1010" s="122"/>
      <c r="M1010" s="122"/>
      <c r="N1010" s="122" t="str">
        <f t="shared" si="3"/>
        <v/>
      </c>
      <c r="S1010" s="62">
        <v>2</v>
      </c>
    </row>
    <row r="1011" spans="1:19" hidden="1">
      <c r="A1011" s="110" t="s">
        <v>1948</v>
      </c>
      <c r="B1011" s="122"/>
      <c r="C1011" s="122"/>
      <c r="D1011" s="122"/>
      <c r="E1011" s="122"/>
      <c r="F1011" s="416"/>
      <c r="G1011" s="408"/>
      <c r="H1011" s="122"/>
      <c r="I1011" s="413"/>
      <c r="J1011" s="422"/>
      <c r="K1011" s="122"/>
      <c r="L1011" s="122"/>
      <c r="M1011" s="122"/>
      <c r="N1011" s="122">
        <f t="shared" si="3"/>
        <v>3</v>
      </c>
      <c r="S1011" s="62">
        <v>3</v>
      </c>
    </row>
    <row r="1012" spans="1:19" hidden="1">
      <c r="A1012" s="110" t="s">
        <v>1948</v>
      </c>
      <c r="B1012" s="122"/>
      <c r="C1012" s="122"/>
      <c r="D1012" s="122"/>
      <c r="E1012" s="122"/>
      <c r="F1012" s="416"/>
      <c r="G1012" s="408"/>
      <c r="H1012" s="122"/>
      <c r="I1012" s="413"/>
      <c r="J1012" s="422"/>
      <c r="K1012" s="122"/>
      <c r="L1012" s="122"/>
      <c r="M1012" s="122"/>
      <c r="N1012" s="122">
        <f t="shared" si="3"/>
        <v>3</v>
      </c>
      <c r="S1012" s="62">
        <v>3</v>
      </c>
    </row>
    <row r="1013" spans="1:19" hidden="1">
      <c r="A1013" s="110" t="s">
        <v>1948</v>
      </c>
      <c r="B1013" s="122"/>
      <c r="C1013" s="122"/>
      <c r="D1013" s="122"/>
      <c r="E1013" s="122"/>
      <c r="F1013" s="416"/>
      <c r="G1013" s="408"/>
      <c r="H1013" s="122"/>
      <c r="I1013" s="413"/>
      <c r="J1013" s="422"/>
      <c r="K1013" s="122"/>
      <c r="L1013" s="122"/>
      <c r="M1013" s="122"/>
      <c r="N1013" s="122">
        <f t="shared" si="3"/>
        <v>3</v>
      </c>
      <c r="S1013" s="62">
        <v>3</v>
      </c>
    </row>
    <row r="1014" spans="1:19" hidden="1">
      <c r="A1014" s="110" t="s">
        <v>1948</v>
      </c>
      <c r="B1014" s="122"/>
      <c r="C1014" s="122"/>
      <c r="D1014" s="122"/>
      <c r="E1014" s="122"/>
      <c r="F1014" s="416"/>
      <c r="G1014" s="408"/>
      <c r="H1014" s="122"/>
      <c r="I1014" s="413"/>
      <c r="J1014" s="422"/>
      <c r="K1014" s="122"/>
      <c r="L1014" s="122"/>
      <c r="M1014" s="122"/>
      <c r="N1014" s="122">
        <f t="shared" si="3"/>
        <v>4</v>
      </c>
      <c r="S1014" s="62">
        <v>4</v>
      </c>
    </row>
    <row r="1015" spans="1:19" hidden="1">
      <c r="A1015" s="110" t="s">
        <v>1948</v>
      </c>
      <c r="B1015" s="122"/>
      <c r="C1015" s="122"/>
      <c r="D1015" s="122"/>
      <c r="E1015" s="122"/>
      <c r="F1015" s="416"/>
      <c r="G1015" s="408"/>
      <c r="H1015" s="122"/>
      <c r="I1015" s="413"/>
      <c r="J1015" s="422"/>
      <c r="K1015" s="122"/>
      <c r="L1015" s="122"/>
      <c r="M1015" s="122"/>
      <c r="N1015" s="122">
        <f t="shared" si="3"/>
        <v>4</v>
      </c>
      <c r="S1015" s="62">
        <v>4</v>
      </c>
    </row>
    <row r="1016" spans="1:19" hidden="1">
      <c r="A1016" s="110" t="s">
        <v>1948</v>
      </c>
      <c r="B1016" s="122"/>
      <c r="C1016" s="122"/>
      <c r="D1016" s="122"/>
      <c r="E1016" s="122"/>
      <c r="F1016" s="416"/>
      <c r="G1016" s="408"/>
      <c r="H1016" s="122"/>
      <c r="I1016" s="413"/>
      <c r="J1016" s="422"/>
      <c r="K1016" s="122"/>
      <c r="L1016" s="122"/>
      <c r="M1016" s="122"/>
      <c r="N1016" s="122">
        <f t="shared" si="3"/>
        <v>4</v>
      </c>
      <c r="S1016" s="62">
        <v>4</v>
      </c>
    </row>
    <row r="1017" spans="1:19" hidden="1">
      <c r="A1017" s="110" t="s">
        <v>1948</v>
      </c>
      <c r="B1017" s="122"/>
      <c r="C1017" s="122"/>
      <c r="D1017" s="122"/>
      <c r="E1017" s="122"/>
      <c r="F1017" s="416"/>
      <c r="G1017" s="408"/>
      <c r="H1017" s="122"/>
      <c r="I1017" s="413"/>
      <c r="J1017" s="422"/>
      <c r="K1017" s="122"/>
      <c r="L1017" s="122"/>
      <c r="M1017" s="122"/>
      <c r="N1017" s="122">
        <f t="shared" si="3"/>
        <v>5</v>
      </c>
      <c r="S1017" s="62">
        <v>5</v>
      </c>
    </row>
    <row r="1018" spans="1:19" hidden="1">
      <c r="A1018" s="110" t="s">
        <v>1948</v>
      </c>
      <c r="B1018" s="122"/>
      <c r="C1018" s="122"/>
      <c r="D1018" s="122"/>
      <c r="E1018" s="122"/>
      <c r="F1018" s="416"/>
      <c r="G1018" s="408"/>
      <c r="H1018" s="122"/>
      <c r="I1018" s="413"/>
      <c r="J1018" s="422"/>
      <c r="K1018" s="122"/>
      <c r="L1018" s="122"/>
      <c r="M1018" s="122"/>
      <c r="N1018" s="122">
        <f t="shared" si="3"/>
        <v>5</v>
      </c>
      <c r="S1018" s="62">
        <v>5</v>
      </c>
    </row>
    <row r="1019" spans="1:19" hidden="1">
      <c r="A1019" s="110" t="s">
        <v>1948</v>
      </c>
      <c r="B1019" s="122"/>
      <c r="C1019" s="122"/>
      <c r="D1019" s="122"/>
      <c r="E1019" s="122"/>
      <c r="F1019" s="416"/>
      <c r="G1019" s="408"/>
      <c r="H1019" s="122"/>
      <c r="I1019" s="413"/>
      <c r="J1019" s="422"/>
      <c r="K1019" s="122"/>
      <c r="L1019" s="122"/>
      <c r="M1019" s="122"/>
      <c r="N1019" s="122">
        <f t="shared" si="3"/>
        <v>5</v>
      </c>
      <c r="S1019" s="62">
        <v>5</v>
      </c>
    </row>
    <row r="1020" spans="1:19" hidden="1">
      <c r="A1020" s="110" t="s">
        <v>1948</v>
      </c>
      <c r="B1020" s="122"/>
      <c r="C1020" s="122"/>
      <c r="D1020" s="122"/>
      <c r="E1020" s="122"/>
      <c r="F1020" s="416"/>
      <c r="G1020" s="408"/>
      <c r="H1020" s="122"/>
      <c r="I1020" s="413"/>
      <c r="J1020" s="422"/>
      <c r="K1020" s="122"/>
      <c r="L1020" s="122"/>
      <c r="M1020" s="122"/>
      <c r="N1020" s="122">
        <f t="shared" si="3"/>
        <v>6</v>
      </c>
      <c r="S1020" s="62">
        <v>6</v>
      </c>
    </row>
    <row r="1021" spans="1:19" hidden="1">
      <c r="A1021" s="110" t="s">
        <v>1948</v>
      </c>
      <c r="B1021" s="122"/>
      <c r="C1021" s="122"/>
      <c r="D1021" s="122"/>
      <c r="E1021" s="122"/>
      <c r="F1021" s="416"/>
      <c r="G1021" s="408"/>
      <c r="H1021" s="122"/>
      <c r="I1021" s="413"/>
      <c r="J1021" s="422"/>
      <c r="K1021" s="122"/>
      <c r="L1021" s="122"/>
      <c r="M1021" s="122"/>
      <c r="N1021" s="122">
        <f t="shared" si="3"/>
        <v>6</v>
      </c>
      <c r="S1021" s="62">
        <v>6</v>
      </c>
    </row>
    <row r="1022" spans="1:19" hidden="1">
      <c r="A1022" s="110" t="s">
        <v>1948</v>
      </c>
      <c r="B1022" s="122"/>
      <c r="C1022" s="122"/>
      <c r="D1022" s="122"/>
      <c r="E1022" s="122"/>
      <c r="F1022" s="416"/>
      <c r="G1022" s="408"/>
      <c r="H1022" s="122"/>
      <c r="I1022" s="413"/>
      <c r="J1022" s="422"/>
      <c r="K1022" s="122"/>
      <c r="L1022" s="122"/>
      <c r="M1022" s="122"/>
      <c r="N1022" s="122">
        <f t="shared" si="3"/>
        <v>6</v>
      </c>
      <c r="S1022" s="62">
        <v>6</v>
      </c>
    </row>
    <row r="1023" spans="1:19" hidden="1">
      <c r="A1023" s="110" t="s">
        <v>1948</v>
      </c>
      <c r="B1023" s="122"/>
      <c r="C1023" s="122"/>
      <c r="D1023" s="122"/>
      <c r="E1023" s="122"/>
      <c r="F1023" s="416"/>
      <c r="G1023" s="408"/>
      <c r="H1023" s="122"/>
      <c r="I1023" s="413"/>
      <c r="J1023" s="422"/>
      <c r="K1023" s="122"/>
      <c r="L1023" s="122"/>
      <c r="M1023" s="122"/>
      <c r="N1023" s="122">
        <f t="shared" si="3"/>
        <v>7</v>
      </c>
      <c r="S1023" s="62">
        <v>7</v>
      </c>
    </row>
    <row r="1024" spans="1:19" hidden="1">
      <c r="A1024" s="110" t="s">
        <v>1948</v>
      </c>
      <c r="B1024" s="122"/>
      <c r="C1024" s="122"/>
      <c r="D1024" s="122"/>
      <c r="E1024" s="122"/>
      <c r="F1024" s="416"/>
      <c r="G1024" s="408"/>
      <c r="H1024" s="122"/>
      <c r="I1024" s="413"/>
      <c r="J1024" s="422"/>
      <c r="K1024" s="122"/>
      <c r="L1024" s="122"/>
      <c r="M1024" s="122"/>
      <c r="N1024" s="122">
        <f t="shared" si="3"/>
        <v>7</v>
      </c>
      <c r="S1024" s="62">
        <v>7</v>
      </c>
    </row>
    <row r="1025" spans="1:19" hidden="1">
      <c r="A1025" s="110" t="s">
        <v>1948</v>
      </c>
      <c r="B1025" s="122"/>
      <c r="C1025" s="122"/>
      <c r="D1025" s="122"/>
      <c r="E1025" s="122"/>
      <c r="F1025" s="416"/>
      <c r="G1025" s="408"/>
      <c r="H1025" s="122"/>
      <c r="I1025" s="413"/>
      <c r="J1025" s="422"/>
      <c r="K1025" s="122"/>
      <c r="L1025" s="122"/>
      <c r="M1025" s="122"/>
      <c r="N1025" s="122">
        <f t="shared" si="3"/>
        <v>7</v>
      </c>
      <c r="S1025" s="62">
        <v>7</v>
      </c>
    </row>
    <row r="1026" spans="1:19" hidden="1">
      <c r="A1026" s="110" t="s">
        <v>1948</v>
      </c>
      <c r="B1026" s="122"/>
      <c r="C1026" s="122"/>
      <c r="D1026" s="122"/>
      <c r="E1026" s="122"/>
      <c r="F1026" s="416"/>
      <c r="G1026" s="408"/>
      <c r="H1026" s="122"/>
      <c r="I1026" s="413"/>
      <c r="J1026" s="422"/>
      <c r="K1026" s="122"/>
      <c r="L1026" s="122"/>
      <c r="M1026" s="122"/>
      <c r="N1026" s="122" t="str">
        <f t="shared" si="3"/>
        <v/>
      </c>
      <c r="S1026" s="62">
        <v>8</v>
      </c>
    </row>
    <row r="1027" spans="1:19" hidden="1">
      <c r="A1027" s="110" t="s">
        <v>1948</v>
      </c>
      <c r="B1027" s="122"/>
      <c r="C1027" s="122"/>
      <c r="D1027" s="122"/>
      <c r="E1027" s="122"/>
      <c r="F1027" s="416"/>
      <c r="G1027" s="408"/>
      <c r="H1027" s="122"/>
      <c r="I1027" s="413"/>
      <c r="J1027" s="422"/>
      <c r="K1027" s="122"/>
      <c r="L1027" s="122"/>
      <c r="M1027" s="122"/>
      <c r="N1027" s="122" t="str">
        <f t="shared" si="3"/>
        <v/>
      </c>
      <c r="S1027" s="62">
        <v>8</v>
      </c>
    </row>
    <row r="1028" spans="1:19" hidden="1">
      <c r="A1028" s="110" t="s">
        <v>1948</v>
      </c>
      <c r="B1028" s="122"/>
      <c r="C1028" s="122"/>
      <c r="D1028" s="122"/>
      <c r="E1028" s="122"/>
      <c r="F1028" s="416"/>
      <c r="G1028" s="408"/>
      <c r="H1028" s="122"/>
      <c r="I1028" s="413"/>
      <c r="J1028" s="422"/>
      <c r="K1028" s="122"/>
      <c r="L1028" s="122"/>
      <c r="M1028" s="122"/>
      <c r="N1028" s="122" t="str">
        <f t="shared" si="3"/>
        <v/>
      </c>
      <c r="S1028" s="62">
        <v>8</v>
      </c>
    </row>
    <row r="1029" spans="1:19" hidden="1">
      <c r="A1029" s="110" t="s">
        <v>1948</v>
      </c>
      <c r="B1029" s="122"/>
      <c r="C1029" s="122"/>
      <c r="D1029" s="122"/>
      <c r="E1029" s="122"/>
      <c r="F1029" s="416"/>
      <c r="G1029" s="408"/>
      <c r="H1029" s="122"/>
      <c r="I1029" s="413"/>
      <c r="J1029" s="422"/>
      <c r="K1029" s="122"/>
      <c r="L1029" s="122"/>
      <c r="M1029" s="122"/>
      <c r="N1029" s="122" t="str">
        <f t="shared" si="3"/>
        <v/>
      </c>
      <c r="S1029" s="62">
        <v>9</v>
      </c>
    </row>
    <row r="1030" spans="1:19" hidden="1">
      <c r="A1030" s="110" t="s">
        <v>1948</v>
      </c>
      <c r="B1030" s="122"/>
      <c r="C1030" s="122"/>
      <c r="D1030" s="122"/>
      <c r="E1030" s="122"/>
      <c r="F1030" s="416"/>
      <c r="G1030" s="408"/>
      <c r="H1030" s="122"/>
      <c r="I1030" s="413"/>
      <c r="J1030" s="422"/>
      <c r="K1030" s="122"/>
      <c r="L1030" s="122"/>
      <c r="M1030" s="122"/>
      <c r="N1030" s="122" t="str">
        <f t="shared" si="3"/>
        <v/>
      </c>
      <c r="S1030" s="62">
        <v>9</v>
      </c>
    </row>
    <row r="1031" spans="1:19" hidden="1">
      <c r="A1031" s="110" t="s">
        <v>1948</v>
      </c>
      <c r="B1031" s="122"/>
      <c r="C1031" s="122"/>
      <c r="D1031" s="122"/>
      <c r="E1031" s="122"/>
      <c r="F1031" s="416"/>
      <c r="G1031" s="408"/>
      <c r="H1031" s="122"/>
      <c r="I1031" s="413"/>
      <c r="J1031" s="422"/>
      <c r="K1031" s="122"/>
      <c r="L1031" s="122"/>
      <c r="M1031" s="122"/>
      <c r="N1031" s="122" t="str">
        <f t="shared" si="3"/>
        <v/>
      </c>
      <c r="S1031" s="62">
        <v>9</v>
      </c>
    </row>
    <row r="1032" spans="1:19" hidden="1">
      <c r="A1032" s="110" t="s">
        <v>1948</v>
      </c>
      <c r="B1032" s="122"/>
      <c r="C1032" s="122"/>
      <c r="D1032" s="122"/>
      <c r="E1032" s="122"/>
      <c r="F1032" s="416"/>
      <c r="G1032" s="408"/>
      <c r="H1032" s="122"/>
      <c r="I1032" s="413"/>
      <c r="J1032" s="422"/>
      <c r="K1032" s="122"/>
      <c r="L1032" s="122"/>
      <c r="M1032" s="122"/>
      <c r="N1032" s="122">
        <f t="shared" si="3"/>
        <v>10</v>
      </c>
      <c r="S1032" s="62">
        <v>10</v>
      </c>
    </row>
    <row r="1033" spans="1:19" hidden="1">
      <c r="A1033" s="110" t="s">
        <v>1948</v>
      </c>
      <c r="B1033" s="122"/>
      <c r="C1033" s="122"/>
      <c r="D1033" s="122"/>
      <c r="E1033" s="122"/>
      <c r="F1033" s="416"/>
      <c r="G1033" s="408"/>
      <c r="H1033" s="122"/>
      <c r="I1033" s="413"/>
      <c r="J1033" s="422"/>
      <c r="K1033" s="122"/>
      <c r="L1033" s="122"/>
      <c r="M1033" s="122"/>
      <c r="N1033" s="122">
        <f t="shared" si="3"/>
        <v>10</v>
      </c>
      <c r="S1033" s="62">
        <v>10</v>
      </c>
    </row>
    <row r="1034" spans="1:19" hidden="1">
      <c r="A1034" s="110" t="s">
        <v>1948</v>
      </c>
      <c r="B1034" s="122"/>
      <c r="C1034" s="122"/>
      <c r="D1034" s="122"/>
      <c r="E1034" s="122"/>
      <c r="F1034" s="416"/>
      <c r="G1034" s="408"/>
      <c r="H1034" s="122"/>
      <c r="I1034" s="413"/>
      <c r="J1034" s="422"/>
      <c r="K1034" s="122"/>
      <c r="L1034" s="122"/>
      <c r="M1034" s="122"/>
      <c r="N1034" s="122">
        <f t="shared" si="3"/>
        <v>10</v>
      </c>
      <c r="S1034" s="62">
        <v>10</v>
      </c>
    </row>
    <row r="1035" spans="1:19" hidden="1">
      <c r="A1035" s="110" t="s">
        <v>1948</v>
      </c>
      <c r="B1035" s="122"/>
      <c r="C1035" s="122"/>
      <c r="D1035" s="122"/>
      <c r="E1035" s="122"/>
      <c r="F1035" s="416"/>
      <c r="G1035" s="408"/>
      <c r="H1035" s="122"/>
      <c r="I1035" s="413"/>
      <c r="J1035" s="422"/>
      <c r="K1035" s="122"/>
      <c r="L1035" s="122"/>
      <c r="M1035" s="122"/>
      <c r="N1035" s="122">
        <f t="shared" si="3"/>
        <v>11</v>
      </c>
      <c r="S1035" s="62">
        <v>11</v>
      </c>
    </row>
    <row r="1036" spans="1:19" hidden="1">
      <c r="A1036" s="110" t="s">
        <v>1948</v>
      </c>
      <c r="B1036" s="122"/>
      <c r="C1036" s="122"/>
      <c r="D1036" s="122"/>
      <c r="E1036" s="122"/>
      <c r="F1036" s="416"/>
      <c r="G1036" s="408"/>
      <c r="H1036" s="122"/>
      <c r="I1036" s="413"/>
      <c r="J1036" s="422"/>
      <c r="K1036" s="122"/>
      <c r="L1036" s="122"/>
      <c r="M1036" s="122"/>
      <c r="N1036" s="122">
        <f t="shared" si="3"/>
        <v>11</v>
      </c>
      <c r="S1036" s="62">
        <v>11</v>
      </c>
    </row>
    <row r="1037" spans="1:19" hidden="1">
      <c r="A1037" s="110" t="s">
        <v>1948</v>
      </c>
      <c r="B1037" s="122"/>
      <c r="C1037" s="122"/>
      <c r="D1037" s="122"/>
      <c r="E1037" s="122"/>
      <c r="F1037" s="416"/>
      <c r="G1037" s="408"/>
      <c r="H1037" s="122"/>
      <c r="I1037" s="413"/>
      <c r="J1037" s="422"/>
      <c r="K1037" s="122"/>
      <c r="L1037" s="122"/>
      <c r="M1037" s="122"/>
      <c r="N1037" s="122">
        <f t="shared" ref="N1037:N1068" si="4">IF(COUNTIF(B$985:B$997,S1037)&gt;0,"",S1037)</f>
        <v>11</v>
      </c>
      <c r="S1037" s="62">
        <v>11</v>
      </c>
    </row>
    <row r="1038" spans="1:19" hidden="1">
      <c r="A1038" s="110" t="s">
        <v>1948</v>
      </c>
      <c r="B1038" s="122"/>
      <c r="C1038" s="122"/>
      <c r="D1038" s="122"/>
      <c r="E1038" s="122"/>
      <c r="F1038" s="416"/>
      <c r="G1038" s="408"/>
      <c r="H1038" s="122"/>
      <c r="I1038" s="413"/>
      <c r="J1038" s="422"/>
      <c r="K1038" s="122"/>
      <c r="L1038" s="122"/>
      <c r="M1038" s="122"/>
      <c r="N1038" s="122">
        <f t="shared" si="4"/>
        <v>12</v>
      </c>
      <c r="S1038" s="62">
        <v>12</v>
      </c>
    </row>
    <row r="1039" spans="1:19" hidden="1">
      <c r="A1039" s="110" t="s">
        <v>1948</v>
      </c>
      <c r="B1039" s="122"/>
      <c r="C1039" s="122"/>
      <c r="D1039" s="122"/>
      <c r="E1039" s="122"/>
      <c r="F1039" s="416"/>
      <c r="G1039" s="408"/>
      <c r="H1039" s="122"/>
      <c r="I1039" s="413"/>
      <c r="J1039" s="422"/>
      <c r="K1039" s="122"/>
      <c r="L1039" s="122"/>
      <c r="M1039" s="122"/>
      <c r="N1039" s="122">
        <f t="shared" si="4"/>
        <v>12</v>
      </c>
      <c r="S1039" s="62">
        <v>12</v>
      </c>
    </row>
    <row r="1040" spans="1:19" hidden="1">
      <c r="A1040" s="110" t="s">
        <v>1948</v>
      </c>
      <c r="B1040" s="122"/>
      <c r="C1040" s="122"/>
      <c r="D1040" s="122"/>
      <c r="E1040" s="122"/>
      <c r="F1040" s="416"/>
      <c r="G1040" s="408"/>
      <c r="H1040" s="122"/>
      <c r="I1040" s="413"/>
      <c r="J1040" s="422"/>
      <c r="K1040" s="122"/>
      <c r="L1040" s="122"/>
      <c r="M1040" s="122"/>
      <c r="N1040" s="122">
        <f t="shared" si="4"/>
        <v>12</v>
      </c>
      <c r="S1040" s="62">
        <v>12</v>
      </c>
    </row>
    <row r="1041" spans="1:19" hidden="1">
      <c r="A1041" s="110" t="s">
        <v>1948</v>
      </c>
      <c r="B1041" s="122"/>
      <c r="C1041" s="122"/>
      <c r="D1041" s="122"/>
      <c r="E1041" s="122"/>
      <c r="F1041" s="416"/>
      <c r="G1041" s="408"/>
      <c r="H1041" s="122"/>
      <c r="I1041" s="413"/>
      <c r="J1041" s="422"/>
      <c r="K1041" s="122"/>
      <c r="L1041" s="122"/>
      <c r="M1041" s="122"/>
      <c r="N1041" s="122">
        <f t="shared" si="4"/>
        <v>13</v>
      </c>
      <c r="S1041" s="62">
        <v>13</v>
      </c>
    </row>
    <row r="1042" spans="1:19" hidden="1">
      <c r="A1042" s="110" t="s">
        <v>1948</v>
      </c>
      <c r="B1042" s="122"/>
      <c r="C1042" s="122"/>
      <c r="D1042" s="122"/>
      <c r="E1042" s="122"/>
      <c r="F1042" s="416"/>
      <c r="G1042" s="408"/>
      <c r="H1042" s="122"/>
      <c r="I1042" s="413"/>
      <c r="J1042" s="422"/>
      <c r="K1042" s="122"/>
      <c r="L1042" s="122"/>
      <c r="M1042" s="122"/>
      <c r="N1042" s="122">
        <f t="shared" si="4"/>
        <v>13</v>
      </c>
      <c r="S1042" s="62">
        <v>13</v>
      </c>
    </row>
    <row r="1043" spans="1:19" hidden="1">
      <c r="A1043" s="110" t="s">
        <v>1948</v>
      </c>
      <c r="B1043" s="122"/>
      <c r="C1043" s="122"/>
      <c r="D1043" s="122"/>
      <c r="E1043" s="122"/>
      <c r="F1043" s="416"/>
      <c r="G1043" s="408"/>
      <c r="H1043" s="122"/>
      <c r="I1043" s="413"/>
      <c r="J1043" s="422"/>
      <c r="K1043" s="122"/>
      <c r="L1043" s="122"/>
      <c r="M1043" s="122"/>
      <c r="N1043" s="122">
        <f t="shared" si="4"/>
        <v>13</v>
      </c>
      <c r="S1043" s="62">
        <v>13</v>
      </c>
    </row>
    <row r="1044" spans="1:19" hidden="1">
      <c r="A1044" s="110" t="s">
        <v>1948</v>
      </c>
      <c r="B1044" s="122"/>
      <c r="C1044" s="122"/>
      <c r="D1044" s="122"/>
      <c r="E1044" s="122"/>
      <c r="F1044" s="416"/>
      <c r="G1044" s="408"/>
      <c r="H1044" s="122"/>
      <c r="I1044" s="413"/>
      <c r="J1044" s="422"/>
      <c r="K1044" s="122"/>
      <c r="L1044" s="122"/>
      <c r="M1044" s="122"/>
      <c r="N1044" s="122">
        <f t="shared" si="4"/>
        <v>14</v>
      </c>
      <c r="S1044" s="62">
        <v>14</v>
      </c>
    </row>
    <row r="1045" spans="1:19" hidden="1">
      <c r="A1045" s="110" t="s">
        <v>1948</v>
      </c>
      <c r="B1045" s="122"/>
      <c r="C1045" s="122"/>
      <c r="D1045" s="122"/>
      <c r="E1045" s="122"/>
      <c r="F1045" s="416"/>
      <c r="G1045" s="408"/>
      <c r="H1045" s="122"/>
      <c r="I1045" s="413"/>
      <c r="J1045" s="422"/>
      <c r="K1045" s="122"/>
      <c r="L1045" s="122"/>
      <c r="M1045" s="122"/>
      <c r="N1045" s="122">
        <f t="shared" si="4"/>
        <v>14</v>
      </c>
      <c r="S1045" s="62">
        <v>14</v>
      </c>
    </row>
    <row r="1046" spans="1:19" hidden="1">
      <c r="A1046" s="110" t="s">
        <v>1948</v>
      </c>
      <c r="B1046" s="122"/>
      <c r="C1046" s="122"/>
      <c r="D1046" s="122"/>
      <c r="E1046" s="122"/>
      <c r="F1046" s="416"/>
      <c r="G1046" s="408"/>
      <c r="H1046" s="122"/>
      <c r="I1046" s="413"/>
      <c r="J1046" s="422"/>
      <c r="K1046" s="122"/>
      <c r="L1046" s="122"/>
      <c r="M1046" s="122"/>
      <c r="N1046" s="122">
        <f t="shared" si="4"/>
        <v>14</v>
      </c>
      <c r="S1046" s="62">
        <v>14</v>
      </c>
    </row>
    <row r="1047" spans="1:19" hidden="1">
      <c r="A1047" s="110" t="s">
        <v>1948</v>
      </c>
      <c r="B1047" s="122"/>
      <c r="C1047" s="122"/>
      <c r="D1047" s="122"/>
      <c r="E1047" s="122"/>
      <c r="F1047" s="416"/>
      <c r="G1047" s="408"/>
      <c r="H1047" s="122"/>
      <c r="I1047" s="413"/>
      <c r="J1047" s="422"/>
      <c r="K1047" s="122"/>
      <c r="L1047" s="122"/>
      <c r="M1047" s="122"/>
      <c r="N1047" s="122" t="str">
        <f t="shared" si="4"/>
        <v/>
      </c>
      <c r="S1047" s="62">
        <v>15</v>
      </c>
    </row>
    <row r="1048" spans="1:19" hidden="1">
      <c r="A1048" s="110" t="s">
        <v>1948</v>
      </c>
      <c r="B1048" s="122"/>
      <c r="C1048" s="122"/>
      <c r="D1048" s="122"/>
      <c r="E1048" s="122"/>
      <c r="F1048" s="416"/>
      <c r="G1048" s="408"/>
      <c r="H1048" s="122"/>
      <c r="I1048" s="413"/>
      <c r="J1048" s="422"/>
      <c r="K1048" s="122"/>
      <c r="L1048" s="122"/>
      <c r="M1048" s="122"/>
      <c r="N1048" s="122" t="str">
        <f t="shared" si="4"/>
        <v/>
      </c>
      <c r="S1048" s="62">
        <v>15</v>
      </c>
    </row>
    <row r="1049" spans="1:19" hidden="1">
      <c r="A1049" s="110" t="s">
        <v>1948</v>
      </c>
      <c r="B1049" s="122"/>
      <c r="C1049" s="122"/>
      <c r="D1049" s="122"/>
      <c r="E1049" s="122"/>
      <c r="F1049" s="416"/>
      <c r="G1049" s="408"/>
      <c r="H1049" s="122"/>
      <c r="I1049" s="413"/>
      <c r="J1049" s="422"/>
      <c r="K1049" s="122"/>
      <c r="L1049" s="122"/>
      <c r="M1049" s="122"/>
      <c r="N1049" s="122" t="str">
        <f t="shared" si="4"/>
        <v/>
      </c>
      <c r="S1049" s="62">
        <v>15</v>
      </c>
    </row>
    <row r="1050" spans="1:19" hidden="1">
      <c r="A1050" s="110" t="s">
        <v>1948</v>
      </c>
      <c r="B1050" s="122"/>
      <c r="C1050" s="122"/>
      <c r="D1050" s="122"/>
      <c r="E1050" s="122"/>
      <c r="F1050" s="416"/>
      <c r="G1050" s="408"/>
      <c r="H1050" s="122"/>
      <c r="I1050" s="413"/>
      <c r="J1050" s="422"/>
      <c r="K1050" s="122"/>
      <c r="L1050" s="122"/>
      <c r="M1050" s="122"/>
      <c r="N1050" s="122" t="str">
        <f t="shared" si="4"/>
        <v/>
      </c>
      <c r="S1050" s="62">
        <v>16</v>
      </c>
    </row>
    <row r="1051" spans="1:19" hidden="1">
      <c r="A1051" s="110" t="s">
        <v>1948</v>
      </c>
      <c r="B1051" s="122"/>
      <c r="C1051" s="122"/>
      <c r="D1051" s="122"/>
      <c r="E1051" s="122"/>
      <c r="F1051" s="416"/>
      <c r="G1051" s="408"/>
      <c r="H1051" s="122"/>
      <c r="I1051" s="413"/>
      <c r="J1051" s="422"/>
      <c r="K1051" s="122"/>
      <c r="L1051" s="122"/>
      <c r="M1051" s="122"/>
      <c r="N1051" s="122" t="str">
        <f t="shared" si="4"/>
        <v/>
      </c>
      <c r="S1051" s="62">
        <v>16</v>
      </c>
    </row>
    <row r="1052" spans="1:19" hidden="1">
      <c r="A1052" s="110" t="s">
        <v>1948</v>
      </c>
      <c r="B1052" s="122"/>
      <c r="C1052" s="122"/>
      <c r="D1052" s="122"/>
      <c r="E1052" s="122"/>
      <c r="F1052" s="416"/>
      <c r="G1052" s="408"/>
      <c r="H1052" s="122"/>
      <c r="I1052" s="413"/>
      <c r="J1052" s="422"/>
      <c r="K1052" s="122"/>
      <c r="L1052" s="122"/>
      <c r="M1052" s="122"/>
      <c r="N1052" s="122" t="str">
        <f t="shared" si="4"/>
        <v/>
      </c>
      <c r="S1052" s="62">
        <v>16</v>
      </c>
    </row>
    <row r="1053" spans="1:19" hidden="1">
      <c r="A1053" s="110" t="s">
        <v>1948</v>
      </c>
      <c r="B1053" s="122"/>
      <c r="C1053" s="122"/>
      <c r="D1053" s="122"/>
      <c r="E1053" s="122"/>
      <c r="F1053" s="416"/>
      <c r="G1053" s="408"/>
      <c r="H1053" s="122"/>
      <c r="I1053" s="413"/>
      <c r="J1053" s="422"/>
      <c r="K1053" s="122"/>
      <c r="L1053" s="122"/>
      <c r="M1053" s="122"/>
      <c r="N1053" s="122">
        <f t="shared" si="4"/>
        <v>17</v>
      </c>
      <c r="S1053" s="62">
        <v>17</v>
      </c>
    </row>
    <row r="1054" spans="1:19" hidden="1">
      <c r="A1054" s="110" t="s">
        <v>1948</v>
      </c>
      <c r="B1054" s="122"/>
      <c r="C1054" s="122"/>
      <c r="D1054" s="122"/>
      <c r="E1054" s="122"/>
      <c r="F1054" s="416"/>
      <c r="G1054" s="408"/>
      <c r="H1054" s="122"/>
      <c r="I1054" s="413"/>
      <c r="J1054" s="422"/>
      <c r="K1054" s="122"/>
      <c r="L1054" s="122"/>
      <c r="M1054" s="122"/>
      <c r="N1054" s="122">
        <f t="shared" si="4"/>
        <v>17</v>
      </c>
      <c r="S1054" s="62">
        <v>17</v>
      </c>
    </row>
    <row r="1055" spans="1:19" hidden="1">
      <c r="A1055" s="110" t="s">
        <v>1948</v>
      </c>
      <c r="B1055" s="122"/>
      <c r="C1055" s="122"/>
      <c r="D1055" s="122"/>
      <c r="E1055" s="122"/>
      <c r="F1055" s="416"/>
      <c r="G1055" s="408"/>
      <c r="H1055" s="122"/>
      <c r="I1055" s="413"/>
      <c r="J1055" s="422"/>
      <c r="K1055" s="122"/>
      <c r="L1055" s="122"/>
      <c r="M1055" s="122"/>
      <c r="N1055" s="122">
        <f t="shared" si="4"/>
        <v>17</v>
      </c>
      <c r="S1055" s="62">
        <v>17</v>
      </c>
    </row>
    <row r="1056" spans="1:19" hidden="1">
      <c r="A1056" s="110" t="s">
        <v>1948</v>
      </c>
      <c r="B1056" s="122"/>
      <c r="C1056" s="122"/>
      <c r="D1056" s="122"/>
      <c r="E1056" s="122"/>
      <c r="F1056" s="416"/>
      <c r="G1056" s="408"/>
      <c r="H1056" s="122"/>
      <c r="I1056" s="413"/>
      <c r="J1056" s="422"/>
      <c r="K1056" s="122"/>
      <c r="L1056" s="122"/>
      <c r="M1056" s="122"/>
      <c r="N1056" s="122">
        <f t="shared" si="4"/>
        <v>18</v>
      </c>
      <c r="S1056" s="62">
        <v>18</v>
      </c>
    </row>
    <row r="1057" spans="1:19" hidden="1">
      <c r="A1057" s="110" t="s">
        <v>1948</v>
      </c>
      <c r="B1057" s="122"/>
      <c r="C1057" s="122"/>
      <c r="D1057" s="122"/>
      <c r="E1057" s="122"/>
      <c r="F1057" s="416"/>
      <c r="G1057" s="408"/>
      <c r="H1057" s="122"/>
      <c r="I1057" s="413"/>
      <c r="J1057" s="422"/>
      <c r="K1057" s="122"/>
      <c r="L1057" s="122"/>
      <c r="M1057" s="122"/>
      <c r="N1057" s="122">
        <f t="shared" si="4"/>
        <v>18</v>
      </c>
      <c r="S1057" s="62">
        <v>18</v>
      </c>
    </row>
    <row r="1058" spans="1:19" hidden="1">
      <c r="A1058" s="110" t="s">
        <v>1948</v>
      </c>
      <c r="B1058" s="122"/>
      <c r="C1058" s="122"/>
      <c r="D1058" s="122"/>
      <c r="E1058" s="122"/>
      <c r="F1058" s="416"/>
      <c r="G1058" s="408"/>
      <c r="H1058" s="122"/>
      <c r="I1058" s="413"/>
      <c r="J1058" s="422"/>
      <c r="K1058" s="122"/>
      <c r="L1058" s="122"/>
      <c r="M1058" s="122"/>
      <c r="N1058" s="122">
        <f t="shared" si="4"/>
        <v>18</v>
      </c>
      <c r="S1058" s="62">
        <v>18</v>
      </c>
    </row>
    <row r="1059" spans="1:19" hidden="1">
      <c r="A1059" s="110" t="s">
        <v>1948</v>
      </c>
      <c r="B1059" s="122"/>
      <c r="C1059" s="122"/>
      <c r="D1059" s="122"/>
      <c r="E1059" s="122"/>
      <c r="F1059" s="416"/>
      <c r="G1059" s="408"/>
      <c r="H1059" s="122"/>
      <c r="I1059" s="413"/>
      <c r="J1059" s="422"/>
      <c r="K1059" s="122"/>
      <c r="L1059" s="122"/>
      <c r="M1059" s="122"/>
      <c r="N1059" s="122">
        <f t="shared" si="4"/>
        <v>19</v>
      </c>
      <c r="S1059" s="62">
        <v>19</v>
      </c>
    </row>
    <row r="1060" spans="1:19" hidden="1">
      <c r="A1060" s="110" t="s">
        <v>1948</v>
      </c>
      <c r="B1060" s="122"/>
      <c r="C1060" s="122"/>
      <c r="D1060" s="122"/>
      <c r="E1060" s="122"/>
      <c r="F1060" s="416"/>
      <c r="G1060" s="408"/>
      <c r="H1060" s="122"/>
      <c r="I1060" s="413"/>
      <c r="J1060" s="422"/>
      <c r="K1060" s="122"/>
      <c r="L1060" s="122"/>
      <c r="M1060" s="122"/>
      <c r="N1060" s="122">
        <f t="shared" si="4"/>
        <v>19</v>
      </c>
      <c r="S1060" s="62">
        <v>19</v>
      </c>
    </row>
    <row r="1061" spans="1:19" hidden="1">
      <c r="A1061" s="110" t="s">
        <v>1948</v>
      </c>
      <c r="B1061" s="122"/>
      <c r="C1061" s="122"/>
      <c r="D1061" s="122"/>
      <c r="E1061" s="122"/>
      <c r="F1061" s="416"/>
      <c r="G1061" s="408"/>
      <c r="H1061" s="122"/>
      <c r="I1061" s="413"/>
      <c r="J1061" s="422"/>
      <c r="K1061" s="122"/>
      <c r="L1061" s="122"/>
      <c r="M1061" s="122"/>
      <c r="N1061" s="122">
        <f t="shared" si="4"/>
        <v>19</v>
      </c>
      <c r="S1061" s="62">
        <v>19</v>
      </c>
    </row>
    <row r="1062" spans="1:19" hidden="1">
      <c r="A1062" s="110" t="s">
        <v>1948</v>
      </c>
      <c r="B1062" s="122"/>
      <c r="C1062" s="122"/>
      <c r="D1062" s="122"/>
      <c r="E1062" s="122"/>
      <c r="F1062" s="416"/>
      <c r="G1062" s="408"/>
      <c r="H1062" s="122"/>
      <c r="I1062" s="413"/>
      <c r="J1062" s="422"/>
      <c r="K1062" s="122"/>
      <c r="L1062" s="122"/>
      <c r="M1062" s="122"/>
      <c r="N1062" s="122">
        <f t="shared" si="4"/>
        <v>20</v>
      </c>
      <c r="S1062" s="62">
        <v>20</v>
      </c>
    </row>
    <row r="1063" spans="1:19" hidden="1">
      <c r="A1063" s="110" t="s">
        <v>1948</v>
      </c>
      <c r="B1063" s="122"/>
      <c r="C1063" s="122"/>
      <c r="D1063" s="122"/>
      <c r="E1063" s="122"/>
      <c r="F1063" s="416"/>
      <c r="G1063" s="408"/>
      <c r="H1063" s="122"/>
      <c r="I1063" s="413"/>
      <c r="J1063" s="422"/>
      <c r="K1063" s="122"/>
      <c r="L1063" s="122"/>
      <c r="M1063" s="122"/>
      <c r="N1063" s="122">
        <f t="shared" si="4"/>
        <v>20</v>
      </c>
      <c r="S1063" s="62">
        <v>20</v>
      </c>
    </row>
    <row r="1064" spans="1:19" hidden="1">
      <c r="A1064" s="110" t="s">
        <v>1948</v>
      </c>
      <c r="B1064" s="122"/>
      <c r="C1064" s="122"/>
      <c r="D1064" s="122"/>
      <c r="E1064" s="122"/>
      <c r="F1064" s="416"/>
      <c r="G1064" s="408"/>
      <c r="H1064" s="122"/>
      <c r="I1064" s="413"/>
      <c r="J1064" s="422"/>
      <c r="K1064" s="122"/>
      <c r="L1064" s="122"/>
      <c r="M1064" s="122"/>
      <c r="N1064" s="122">
        <f t="shared" si="4"/>
        <v>20</v>
      </c>
      <c r="S1064" s="62">
        <v>20</v>
      </c>
    </row>
    <row r="1065" spans="1:19" hidden="1">
      <c r="A1065" s="110" t="s">
        <v>1948</v>
      </c>
      <c r="B1065" s="122"/>
      <c r="C1065" s="122"/>
      <c r="D1065" s="122"/>
      <c r="E1065" s="122"/>
      <c r="F1065" s="416"/>
      <c r="G1065" s="408"/>
      <c r="H1065" s="122"/>
      <c r="I1065" s="413"/>
      <c r="J1065" s="422"/>
      <c r="K1065" s="122"/>
      <c r="L1065" s="122"/>
      <c r="M1065" s="122"/>
      <c r="N1065" s="122">
        <f t="shared" si="4"/>
        <v>21</v>
      </c>
      <c r="S1065" s="62">
        <v>21</v>
      </c>
    </row>
    <row r="1066" spans="1:19" hidden="1">
      <c r="A1066" s="110" t="s">
        <v>1948</v>
      </c>
      <c r="B1066" s="122"/>
      <c r="C1066" s="122"/>
      <c r="D1066" s="122"/>
      <c r="E1066" s="122"/>
      <c r="F1066" s="416"/>
      <c r="G1066" s="408"/>
      <c r="H1066" s="122"/>
      <c r="I1066" s="413"/>
      <c r="J1066" s="422"/>
      <c r="K1066" s="122"/>
      <c r="L1066" s="122"/>
      <c r="M1066" s="122"/>
      <c r="N1066" s="122">
        <f t="shared" si="4"/>
        <v>21</v>
      </c>
      <c r="S1066" s="62">
        <v>21</v>
      </c>
    </row>
    <row r="1067" spans="1:19" hidden="1">
      <c r="A1067" s="110" t="s">
        <v>1948</v>
      </c>
      <c r="B1067" s="122"/>
      <c r="C1067" s="122"/>
      <c r="D1067" s="122"/>
      <c r="E1067" s="122"/>
      <c r="F1067" s="416"/>
      <c r="G1067" s="408"/>
      <c r="H1067" s="122"/>
      <c r="I1067" s="413"/>
      <c r="J1067" s="422"/>
      <c r="K1067" s="122"/>
      <c r="L1067" s="122"/>
      <c r="M1067" s="122"/>
      <c r="N1067" s="122">
        <f t="shared" si="4"/>
        <v>21</v>
      </c>
      <c r="S1067" s="62">
        <v>21</v>
      </c>
    </row>
    <row r="1068" spans="1:19" hidden="1">
      <c r="A1068" s="110" t="s">
        <v>1948</v>
      </c>
      <c r="B1068" s="122"/>
      <c r="C1068" s="122"/>
      <c r="D1068" s="122"/>
      <c r="E1068" s="122"/>
      <c r="F1068" s="416"/>
      <c r="G1068" s="408"/>
      <c r="H1068" s="122"/>
      <c r="I1068" s="413"/>
      <c r="J1068" s="422"/>
      <c r="K1068" s="122"/>
      <c r="L1068" s="122"/>
      <c r="M1068" s="122"/>
      <c r="N1068" s="122" t="str">
        <f t="shared" si="4"/>
        <v/>
      </c>
      <c r="S1068" s="62">
        <v>22</v>
      </c>
    </row>
    <row r="1069" spans="1:19" hidden="1">
      <c r="A1069" s="110" t="s">
        <v>1948</v>
      </c>
      <c r="B1069" s="122"/>
      <c r="C1069" s="122"/>
      <c r="D1069" s="122"/>
      <c r="E1069" s="122"/>
      <c r="F1069" s="416"/>
      <c r="G1069" s="408"/>
      <c r="H1069" s="122"/>
      <c r="I1069" s="413"/>
      <c r="J1069" s="422"/>
      <c r="K1069" s="122"/>
      <c r="L1069" s="122"/>
      <c r="M1069" s="122"/>
      <c r="N1069" s="122" t="str">
        <f t="shared" ref="N1069:N1097" si="5">IF(COUNTIF(B$985:B$997,S1069)&gt;0,"",S1069)</f>
        <v/>
      </c>
      <c r="S1069" s="62">
        <v>22</v>
      </c>
    </row>
    <row r="1070" spans="1:19" hidden="1">
      <c r="A1070" s="110" t="s">
        <v>1948</v>
      </c>
      <c r="B1070" s="122"/>
      <c r="C1070" s="122"/>
      <c r="D1070" s="122"/>
      <c r="E1070" s="122"/>
      <c r="F1070" s="416"/>
      <c r="G1070" s="408"/>
      <c r="H1070" s="122"/>
      <c r="I1070" s="413"/>
      <c r="J1070" s="422"/>
      <c r="K1070" s="122"/>
      <c r="L1070" s="122"/>
      <c r="M1070" s="122"/>
      <c r="N1070" s="122" t="str">
        <f t="shared" si="5"/>
        <v/>
      </c>
      <c r="S1070" s="62">
        <v>22</v>
      </c>
    </row>
    <row r="1071" spans="1:19" hidden="1">
      <c r="A1071" s="110" t="s">
        <v>1948</v>
      </c>
      <c r="B1071" s="122"/>
      <c r="C1071" s="122"/>
      <c r="D1071" s="122"/>
      <c r="E1071" s="122"/>
      <c r="F1071" s="416"/>
      <c r="G1071" s="408"/>
      <c r="H1071" s="122"/>
      <c r="I1071" s="413"/>
      <c r="J1071" s="422"/>
      <c r="K1071" s="122"/>
      <c r="L1071" s="122"/>
      <c r="M1071" s="122"/>
      <c r="N1071" s="122" t="str">
        <f t="shared" si="5"/>
        <v/>
      </c>
      <c r="S1071" s="62">
        <v>23</v>
      </c>
    </row>
    <row r="1072" spans="1:19" hidden="1">
      <c r="A1072" s="110" t="s">
        <v>1948</v>
      </c>
      <c r="B1072" s="122"/>
      <c r="C1072" s="122"/>
      <c r="D1072" s="122"/>
      <c r="E1072" s="122"/>
      <c r="F1072" s="416"/>
      <c r="G1072" s="408"/>
      <c r="H1072" s="122"/>
      <c r="I1072" s="413"/>
      <c r="J1072" s="422"/>
      <c r="K1072" s="122"/>
      <c r="L1072" s="122"/>
      <c r="M1072" s="122"/>
      <c r="N1072" s="122" t="str">
        <f t="shared" si="5"/>
        <v/>
      </c>
      <c r="S1072" s="62">
        <v>23</v>
      </c>
    </row>
    <row r="1073" spans="1:19" hidden="1">
      <c r="A1073" s="110" t="s">
        <v>1948</v>
      </c>
      <c r="B1073" s="122"/>
      <c r="C1073" s="122"/>
      <c r="D1073" s="122"/>
      <c r="E1073" s="122"/>
      <c r="F1073" s="416"/>
      <c r="G1073" s="408"/>
      <c r="H1073" s="122"/>
      <c r="I1073" s="413"/>
      <c r="J1073" s="422"/>
      <c r="K1073" s="122"/>
      <c r="L1073" s="122"/>
      <c r="M1073" s="122"/>
      <c r="N1073" s="122" t="str">
        <f t="shared" si="5"/>
        <v/>
      </c>
      <c r="S1073" s="62">
        <v>23</v>
      </c>
    </row>
    <row r="1074" spans="1:19" hidden="1">
      <c r="A1074" s="110" t="s">
        <v>1948</v>
      </c>
      <c r="B1074" s="122"/>
      <c r="C1074" s="122"/>
      <c r="D1074" s="122"/>
      <c r="E1074" s="122"/>
      <c r="F1074" s="416"/>
      <c r="G1074" s="408"/>
      <c r="H1074" s="122"/>
      <c r="I1074" s="413"/>
      <c r="J1074" s="422"/>
      <c r="K1074" s="122"/>
      <c r="L1074" s="122"/>
      <c r="M1074" s="122"/>
      <c r="N1074" s="122">
        <f t="shared" si="5"/>
        <v>24</v>
      </c>
      <c r="S1074" s="62">
        <v>24</v>
      </c>
    </row>
    <row r="1075" spans="1:19" hidden="1">
      <c r="A1075" s="110" t="s">
        <v>1948</v>
      </c>
      <c r="B1075" s="122"/>
      <c r="C1075" s="122"/>
      <c r="D1075" s="122"/>
      <c r="E1075" s="122"/>
      <c r="F1075" s="416"/>
      <c r="G1075" s="408"/>
      <c r="H1075" s="122"/>
      <c r="I1075" s="413"/>
      <c r="J1075" s="422"/>
      <c r="K1075" s="122"/>
      <c r="L1075" s="122"/>
      <c r="M1075" s="122"/>
      <c r="N1075" s="122">
        <f t="shared" si="5"/>
        <v>24</v>
      </c>
      <c r="S1075" s="62">
        <v>24</v>
      </c>
    </row>
    <row r="1076" spans="1:19" hidden="1">
      <c r="A1076" s="110" t="s">
        <v>1948</v>
      </c>
      <c r="B1076" s="122"/>
      <c r="C1076" s="122"/>
      <c r="D1076" s="122"/>
      <c r="E1076" s="122"/>
      <c r="F1076" s="416"/>
      <c r="G1076" s="408"/>
      <c r="H1076" s="122"/>
      <c r="I1076" s="413"/>
      <c r="J1076" s="422"/>
      <c r="K1076" s="122"/>
      <c r="L1076" s="122"/>
      <c r="M1076" s="122"/>
      <c r="N1076" s="122">
        <f t="shared" si="5"/>
        <v>24</v>
      </c>
      <c r="S1076" s="62">
        <v>24</v>
      </c>
    </row>
    <row r="1077" spans="1:19" hidden="1">
      <c r="A1077" s="110" t="s">
        <v>1948</v>
      </c>
      <c r="B1077" s="122"/>
      <c r="C1077" s="122"/>
      <c r="D1077" s="122"/>
      <c r="E1077" s="122"/>
      <c r="F1077" s="416"/>
      <c r="G1077" s="408"/>
      <c r="H1077" s="122"/>
      <c r="I1077" s="413"/>
      <c r="J1077" s="422"/>
      <c r="K1077" s="122"/>
      <c r="L1077" s="122"/>
      <c r="M1077" s="122"/>
      <c r="N1077" s="122">
        <f t="shared" si="5"/>
        <v>25</v>
      </c>
      <c r="S1077" s="62">
        <v>25</v>
      </c>
    </row>
    <row r="1078" spans="1:19" hidden="1">
      <c r="A1078" s="110" t="s">
        <v>1948</v>
      </c>
      <c r="B1078" s="122"/>
      <c r="C1078" s="122"/>
      <c r="D1078" s="122"/>
      <c r="E1078" s="122"/>
      <c r="F1078" s="416"/>
      <c r="G1078" s="408"/>
      <c r="H1078" s="122"/>
      <c r="I1078" s="413"/>
      <c r="J1078" s="422"/>
      <c r="K1078" s="122"/>
      <c r="L1078" s="122"/>
      <c r="M1078" s="122"/>
      <c r="N1078" s="122">
        <f t="shared" si="5"/>
        <v>25</v>
      </c>
      <c r="S1078" s="62">
        <v>25</v>
      </c>
    </row>
    <row r="1079" spans="1:19" hidden="1">
      <c r="A1079" s="110" t="s">
        <v>1948</v>
      </c>
      <c r="B1079" s="122"/>
      <c r="C1079" s="122"/>
      <c r="D1079" s="122"/>
      <c r="E1079" s="122"/>
      <c r="F1079" s="416"/>
      <c r="G1079" s="408"/>
      <c r="H1079" s="122"/>
      <c r="I1079" s="413"/>
      <c r="J1079" s="422"/>
      <c r="K1079" s="122"/>
      <c r="L1079" s="122"/>
      <c r="M1079" s="122"/>
      <c r="N1079" s="122">
        <f t="shared" si="5"/>
        <v>25</v>
      </c>
      <c r="S1079" s="62">
        <v>25</v>
      </c>
    </row>
    <row r="1080" spans="1:19" hidden="1">
      <c r="A1080" s="110" t="s">
        <v>1948</v>
      </c>
      <c r="B1080" s="122"/>
      <c r="C1080" s="122"/>
      <c r="D1080" s="122"/>
      <c r="E1080" s="122"/>
      <c r="F1080" s="416"/>
      <c r="G1080" s="408"/>
      <c r="H1080" s="122"/>
      <c r="I1080" s="413"/>
      <c r="J1080" s="422"/>
      <c r="K1080" s="122"/>
      <c r="L1080" s="122"/>
      <c r="M1080" s="122"/>
      <c r="N1080" s="122">
        <f t="shared" si="5"/>
        <v>26</v>
      </c>
      <c r="S1080" s="62">
        <v>26</v>
      </c>
    </row>
    <row r="1081" spans="1:19" hidden="1">
      <c r="A1081" s="110" t="s">
        <v>1948</v>
      </c>
      <c r="B1081" s="122"/>
      <c r="C1081" s="122"/>
      <c r="D1081" s="122"/>
      <c r="E1081" s="122"/>
      <c r="F1081" s="416"/>
      <c r="G1081" s="408"/>
      <c r="H1081" s="122"/>
      <c r="I1081" s="413"/>
      <c r="J1081" s="422"/>
      <c r="K1081" s="122"/>
      <c r="L1081" s="122"/>
      <c r="M1081" s="122"/>
      <c r="N1081" s="122">
        <f t="shared" si="5"/>
        <v>26</v>
      </c>
      <c r="S1081" s="62">
        <v>26</v>
      </c>
    </row>
    <row r="1082" spans="1:19" hidden="1">
      <c r="A1082" s="110" t="s">
        <v>1948</v>
      </c>
      <c r="B1082" s="122"/>
      <c r="C1082" s="122"/>
      <c r="D1082" s="122"/>
      <c r="E1082" s="122"/>
      <c r="F1082" s="416"/>
      <c r="G1082" s="408"/>
      <c r="H1082" s="122"/>
      <c r="I1082" s="413"/>
      <c r="J1082" s="422"/>
      <c r="K1082" s="122"/>
      <c r="L1082" s="122"/>
      <c r="M1082" s="122"/>
      <c r="N1082" s="122">
        <f t="shared" si="5"/>
        <v>26</v>
      </c>
      <c r="S1082" s="62">
        <v>26</v>
      </c>
    </row>
    <row r="1083" spans="1:19" hidden="1">
      <c r="A1083" s="110" t="s">
        <v>1948</v>
      </c>
      <c r="B1083" s="122"/>
      <c r="C1083" s="122"/>
      <c r="D1083" s="122"/>
      <c r="E1083" s="122"/>
      <c r="F1083" s="416"/>
      <c r="G1083" s="408"/>
      <c r="H1083" s="122"/>
      <c r="I1083" s="413"/>
      <c r="J1083" s="422"/>
      <c r="K1083" s="122"/>
      <c r="L1083" s="122"/>
      <c r="M1083" s="122"/>
      <c r="N1083" s="122">
        <f t="shared" si="5"/>
        <v>27</v>
      </c>
      <c r="S1083" s="62">
        <v>27</v>
      </c>
    </row>
    <row r="1084" spans="1:19" hidden="1">
      <c r="A1084" s="110" t="s">
        <v>1948</v>
      </c>
      <c r="B1084" s="122"/>
      <c r="C1084" s="122"/>
      <c r="D1084" s="122"/>
      <c r="E1084" s="122"/>
      <c r="F1084" s="416"/>
      <c r="G1084" s="408"/>
      <c r="H1084" s="122"/>
      <c r="I1084" s="413"/>
      <c r="J1084" s="422"/>
      <c r="K1084" s="122"/>
      <c r="L1084" s="122"/>
      <c r="M1084" s="122"/>
      <c r="N1084" s="122">
        <f t="shared" si="5"/>
        <v>27</v>
      </c>
      <c r="S1084" s="62">
        <v>27</v>
      </c>
    </row>
    <row r="1085" spans="1:19" hidden="1">
      <c r="A1085" s="110" t="s">
        <v>1948</v>
      </c>
      <c r="B1085" s="122"/>
      <c r="C1085" s="122"/>
      <c r="D1085" s="122"/>
      <c r="E1085" s="122"/>
      <c r="F1085" s="416"/>
      <c r="G1085" s="408"/>
      <c r="H1085" s="122"/>
      <c r="I1085" s="413"/>
      <c r="J1085" s="422"/>
      <c r="K1085" s="122"/>
      <c r="L1085" s="122"/>
      <c r="M1085" s="122"/>
      <c r="N1085" s="122">
        <f t="shared" si="5"/>
        <v>27</v>
      </c>
      <c r="S1085" s="62">
        <v>27</v>
      </c>
    </row>
    <row r="1086" spans="1:19" hidden="1">
      <c r="A1086" s="110" t="s">
        <v>1948</v>
      </c>
      <c r="B1086" s="122"/>
      <c r="C1086" s="122"/>
      <c r="D1086" s="122"/>
      <c r="E1086" s="122"/>
      <c r="F1086" s="416"/>
      <c r="G1086" s="408"/>
      <c r="H1086" s="122"/>
      <c r="I1086" s="413"/>
      <c r="J1086" s="422"/>
      <c r="K1086" s="122"/>
      <c r="L1086" s="122"/>
      <c r="M1086" s="122"/>
      <c r="N1086" s="122">
        <f t="shared" si="5"/>
        <v>28</v>
      </c>
      <c r="S1086" s="62">
        <v>28</v>
      </c>
    </row>
    <row r="1087" spans="1:19" hidden="1">
      <c r="A1087" s="110" t="s">
        <v>1948</v>
      </c>
      <c r="B1087" s="122"/>
      <c r="C1087" s="122"/>
      <c r="D1087" s="122"/>
      <c r="E1087" s="122"/>
      <c r="F1087" s="416"/>
      <c r="G1087" s="408"/>
      <c r="H1087" s="122"/>
      <c r="I1087" s="413"/>
      <c r="J1087" s="422"/>
      <c r="K1087" s="122"/>
      <c r="L1087" s="122"/>
      <c r="M1087" s="122"/>
      <c r="N1087" s="122">
        <f t="shared" si="5"/>
        <v>28</v>
      </c>
      <c r="S1087" s="62">
        <v>28</v>
      </c>
    </row>
    <row r="1088" spans="1:19" hidden="1">
      <c r="A1088" s="110" t="s">
        <v>1948</v>
      </c>
      <c r="B1088" s="122"/>
      <c r="C1088" s="122"/>
      <c r="D1088" s="122"/>
      <c r="E1088" s="122"/>
      <c r="F1088" s="416"/>
      <c r="G1088" s="408"/>
      <c r="H1088" s="122"/>
      <c r="I1088" s="413"/>
      <c r="J1088" s="422"/>
      <c r="K1088" s="122"/>
      <c r="L1088" s="122"/>
      <c r="M1088" s="122"/>
      <c r="N1088" s="122">
        <f t="shared" si="5"/>
        <v>28</v>
      </c>
      <c r="S1088" s="62">
        <v>28</v>
      </c>
    </row>
    <row r="1089" spans="1:19" hidden="1">
      <c r="A1089" s="110" t="s">
        <v>1948</v>
      </c>
      <c r="B1089" s="122"/>
      <c r="C1089" s="122"/>
      <c r="D1089" s="122"/>
      <c r="E1089" s="122"/>
      <c r="F1089" s="416"/>
      <c r="G1089" s="408"/>
      <c r="H1089" s="122"/>
      <c r="I1089" s="413"/>
      <c r="J1089" s="422"/>
      <c r="K1089" s="122"/>
      <c r="L1089" s="122"/>
      <c r="M1089" s="122"/>
      <c r="N1089" s="122" t="str">
        <f t="shared" si="5"/>
        <v/>
      </c>
      <c r="S1089" s="62">
        <v>29</v>
      </c>
    </row>
    <row r="1090" spans="1:19" hidden="1">
      <c r="A1090" s="110" t="s">
        <v>1948</v>
      </c>
      <c r="B1090" s="122"/>
      <c r="C1090" s="122"/>
      <c r="D1090" s="122"/>
      <c r="E1090" s="122"/>
      <c r="F1090" s="416"/>
      <c r="G1090" s="408"/>
      <c r="H1090" s="122"/>
      <c r="I1090" s="413"/>
      <c r="J1090" s="422"/>
      <c r="K1090" s="122"/>
      <c r="L1090" s="122"/>
      <c r="M1090" s="122"/>
      <c r="N1090" s="122" t="str">
        <f t="shared" si="5"/>
        <v/>
      </c>
      <c r="S1090" s="62">
        <v>29</v>
      </c>
    </row>
    <row r="1091" spans="1:19" hidden="1">
      <c r="A1091" s="110" t="s">
        <v>1948</v>
      </c>
      <c r="B1091" s="122"/>
      <c r="C1091" s="122"/>
      <c r="D1091" s="122"/>
      <c r="E1091" s="122"/>
      <c r="F1091" s="416"/>
      <c r="G1091" s="408"/>
      <c r="H1091" s="122"/>
      <c r="I1091" s="413"/>
      <c r="J1091" s="422"/>
      <c r="K1091" s="122"/>
      <c r="L1091" s="122"/>
      <c r="M1091" s="122"/>
      <c r="N1091" s="122" t="str">
        <f t="shared" si="5"/>
        <v/>
      </c>
      <c r="S1091" s="62">
        <v>29</v>
      </c>
    </row>
    <row r="1092" spans="1:19" hidden="1">
      <c r="A1092" s="110" t="s">
        <v>1948</v>
      </c>
      <c r="B1092" s="122"/>
      <c r="C1092" s="122"/>
      <c r="D1092" s="122"/>
      <c r="E1092" s="122"/>
      <c r="F1092" s="416"/>
      <c r="G1092" s="408"/>
      <c r="H1092" s="122"/>
      <c r="I1092" s="413"/>
      <c r="J1092" s="422"/>
      <c r="K1092" s="122"/>
      <c r="L1092" s="122"/>
      <c r="M1092" s="122"/>
      <c r="N1092" s="122" t="str">
        <f t="shared" si="5"/>
        <v/>
      </c>
      <c r="S1092" s="62">
        <v>30</v>
      </c>
    </row>
    <row r="1093" spans="1:19" hidden="1">
      <c r="A1093" s="110" t="s">
        <v>1948</v>
      </c>
      <c r="B1093" s="122"/>
      <c r="C1093" s="122"/>
      <c r="D1093" s="122"/>
      <c r="E1093" s="122"/>
      <c r="F1093" s="416"/>
      <c r="G1093" s="408"/>
      <c r="H1093" s="122"/>
      <c r="I1093" s="413"/>
      <c r="J1093" s="422"/>
      <c r="K1093" s="122"/>
      <c r="L1093" s="122"/>
      <c r="M1093" s="122"/>
      <c r="N1093" s="122" t="str">
        <f t="shared" si="5"/>
        <v/>
      </c>
      <c r="S1093" s="62">
        <v>30</v>
      </c>
    </row>
    <row r="1094" spans="1:19" hidden="1">
      <c r="A1094" s="110" t="s">
        <v>1948</v>
      </c>
      <c r="B1094" s="122"/>
      <c r="C1094" s="122"/>
      <c r="D1094" s="122"/>
      <c r="E1094" s="122"/>
      <c r="F1094" s="416"/>
      <c r="G1094" s="408"/>
      <c r="H1094" s="122"/>
      <c r="I1094" s="413"/>
      <c r="J1094" s="422"/>
      <c r="K1094" s="122"/>
      <c r="L1094" s="122"/>
      <c r="M1094" s="122"/>
      <c r="N1094" s="122" t="str">
        <f t="shared" si="5"/>
        <v/>
      </c>
      <c r="S1094" s="62">
        <v>30</v>
      </c>
    </row>
    <row r="1095" spans="1:19" hidden="1">
      <c r="A1095" s="110" t="s">
        <v>1948</v>
      </c>
      <c r="B1095" s="122"/>
      <c r="C1095" s="122"/>
      <c r="D1095" s="122"/>
      <c r="E1095" s="122"/>
      <c r="F1095" s="416"/>
      <c r="G1095" s="408"/>
      <c r="H1095" s="122"/>
      <c r="I1095" s="413"/>
      <c r="J1095" s="422"/>
      <c r="K1095" s="122"/>
      <c r="L1095" s="122"/>
      <c r="M1095" s="122"/>
      <c r="N1095" s="122">
        <f t="shared" si="5"/>
        <v>31</v>
      </c>
      <c r="S1095" s="62">
        <v>31</v>
      </c>
    </row>
    <row r="1096" spans="1:19" hidden="1">
      <c r="A1096" s="110" t="s">
        <v>1948</v>
      </c>
      <c r="B1096" s="122"/>
      <c r="C1096" s="122"/>
      <c r="D1096" s="122"/>
      <c r="E1096" s="122"/>
      <c r="F1096" s="416"/>
      <c r="G1096" s="408"/>
      <c r="H1096" s="122"/>
      <c r="I1096" s="413"/>
      <c r="J1096" s="422"/>
      <c r="K1096" s="122"/>
      <c r="L1096" s="122"/>
      <c r="M1096" s="122"/>
      <c r="N1096" s="122">
        <f t="shared" si="5"/>
        <v>31</v>
      </c>
      <c r="S1096" s="62">
        <v>31</v>
      </c>
    </row>
    <row r="1097" spans="1:19" hidden="1">
      <c r="A1097" s="110" t="s">
        <v>1948</v>
      </c>
      <c r="B1097" s="122"/>
      <c r="C1097" s="122"/>
      <c r="D1097" s="122"/>
      <c r="E1097" s="122"/>
      <c r="F1097" s="416"/>
      <c r="G1097" s="408"/>
      <c r="H1097" s="122"/>
      <c r="I1097" s="413"/>
      <c r="J1097" s="422"/>
      <c r="K1097" s="122"/>
      <c r="L1097" s="122"/>
      <c r="M1097" s="122"/>
      <c r="N1097" s="122">
        <f t="shared" si="5"/>
        <v>31</v>
      </c>
      <c r="S1097" s="62">
        <v>31</v>
      </c>
    </row>
  </sheetData>
  <protectedRanges>
    <protectedRange sqref="U30:V33 T34:T37 T42:T45 T70:T73 T83:T94 T96:T103 X30:BM33 S30:S33 U9:V14 X9:BM14 S10:S14 S15:BM29 B9:Q33" name="Диапазон1_2_2_2_1_1_1_1"/>
  </protectedRanges>
  <mergeCells count="3">
    <mergeCell ref="A1:L1"/>
    <mergeCell ref="G2:I2"/>
    <mergeCell ref="O2:Q2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9" tint="-0.249977111117893"/>
    <pageSetUpPr fitToPage="1"/>
  </sheetPr>
  <dimension ref="A1:GD48"/>
  <sheetViews>
    <sheetView tabSelected="1" showWhiteSpace="0" view="pageBreakPreview" topLeftCell="A10" zoomScale="85" zoomScaleSheetLayoutView="85" zoomScalePageLayoutView="80" workbookViewId="0">
      <selection activeCell="I31" sqref="I31"/>
    </sheetView>
  </sheetViews>
  <sheetFormatPr defaultColWidth="9.140625" defaultRowHeight="15"/>
  <cols>
    <col min="1" max="1" width="12.85546875" style="148" customWidth="1"/>
    <col min="2" max="2" width="7.28515625" style="148" customWidth="1"/>
    <col min="3" max="3" width="8.7109375" style="148" customWidth="1"/>
    <col min="4" max="4" width="5.42578125" style="148" customWidth="1"/>
    <col min="5" max="5" width="7.5703125" style="148" customWidth="1"/>
    <col min="6" max="6" width="5.28515625" style="148" customWidth="1"/>
    <col min="7" max="7" width="5.7109375" style="148" customWidth="1"/>
    <col min="8" max="8" width="5.85546875" style="148" customWidth="1"/>
    <col min="9" max="9" width="5.5703125" style="148" customWidth="1"/>
    <col min="10" max="10" width="6.5703125" style="148" customWidth="1"/>
    <col min="11" max="11" width="9" style="148" customWidth="1"/>
    <col min="12" max="12" width="8" style="148" customWidth="1"/>
    <col min="13" max="21" width="6.28515625" style="148" customWidth="1"/>
    <col min="22" max="23" width="8.7109375" style="148" customWidth="1"/>
    <col min="24" max="26" width="6.7109375" style="148" customWidth="1"/>
    <col min="27" max="27" width="8.42578125" style="148" customWidth="1"/>
    <col min="28" max="28" width="6.7109375" style="148" customWidth="1"/>
    <col min="29" max="29" width="10.7109375" style="148" customWidth="1"/>
    <col min="30" max="30" width="12.7109375" style="148" customWidth="1"/>
    <col min="31" max="31" width="8.85546875" style="148" customWidth="1"/>
    <col min="32" max="33" width="7.7109375" style="148" customWidth="1"/>
    <col min="34" max="34" width="6" style="148" customWidth="1"/>
    <col min="35" max="38" width="12.42578125" style="148" customWidth="1"/>
    <col min="39" max="39" width="10.42578125" style="148" customWidth="1"/>
    <col min="40" max="41" width="9.140625" style="148"/>
    <col min="42" max="42" width="10.7109375" style="148" customWidth="1"/>
    <col min="43" max="43" width="14" style="148" customWidth="1"/>
    <col min="44" max="44" width="9.7109375" style="147" bestFit="1" customWidth="1"/>
    <col min="45" max="45" width="9.140625" style="147"/>
    <col min="46" max="46" width="13.42578125" style="147" bestFit="1" customWidth="1"/>
    <col min="47" max="186" width="9.140625" style="147"/>
    <col min="187" max="16384" width="9.140625" style="148"/>
  </cols>
  <sheetData>
    <row r="1" spans="1:47" ht="15.75">
      <c r="A1" s="431" t="s">
        <v>1967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</row>
    <row r="2" spans="1:47" ht="15.75" customHeight="1">
      <c r="A2" s="431" t="s">
        <v>2029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</row>
    <row r="3" spans="1:47" ht="15.75" customHeight="1">
      <c r="A3" s="432">
        <f>DATE(ВВОД!G2,ВВОД!A2,1)</f>
        <v>45444</v>
      </c>
      <c r="B3" s="432"/>
      <c r="C3" s="432"/>
      <c r="D3" s="432"/>
      <c r="E3" s="432"/>
      <c r="F3" s="432"/>
      <c r="G3" s="432"/>
      <c r="H3" s="432"/>
      <c r="I3" s="432"/>
      <c r="J3" s="432"/>
      <c r="K3" s="432"/>
      <c r="L3" s="432"/>
      <c r="M3" s="432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432"/>
      <c r="AC3" s="432"/>
      <c r="AD3" s="432"/>
      <c r="AE3" s="432"/>
      <c r="AF3" s="432"/>
      <c r="AG3" s="432"/>
      <c r="AH3" s="432"/>
      <c r="AI3" s="432"/>
      <c r="AJ3" s="432"/>
      <c r="AK3" s="432"/>
      <c r="AL3" s="432"/>
      <c r="AM3" s="432"/>
      <c r="AN3" s="432"/>
      <c r="AO3" s="432"/>
      <c r="AP3" s="432"/>
      <c r="AQ3" s="432"/>
      <c r="AR3" s="432"/>
      <c r="AS3" s="432"/>
    </row>
    <row r="4" spans="1:47" ht="15.75" thickBot="1"/>
    <row r="5" spans="1:47" ht="40.700000000000003" customHeight="1" thickBot="1">
      <c r="A5" s="433" t="s">
        <v>1968</v>
      </c>
      <c r="B5" s="435" t="s">
        <v>1969</v>
      </c>
      <c r="C5" s="436"/>
      <c r="D5" s="436"/>
      <c r="E5" s="436"/>
      <c r="F5" s="436"/>
      <c r="G5" s="436"/>
      <c r="H5" s="436"/>
      <c r="I5" s="436"/>
      <c r="J5" s="436"/>
      <c r="K5" s="437"/>
      <c r="L5" s="438" t="s">
        <v>1970</v>
      </c>
      <c r="M5" s="439"/>
      <c r="N5" s="439"/>
      <c r="O5" s="439"/>
      <c r="P5" s="439"/>
      <c r="Q5" s="439"/>
      <c r="R5" s="439"/>
      <c r="S5" s="439"/>
      <c r="T5" s="439"/>
      <c r="U5" s="440"/>
      <c r="V5" s="438" t="s">
        <v>1971</v>
      </c>
      <c r="W5" s="439"/>
      <c r="X5" s="439"/>
      <c r="Y5" s="439"/>
      <c r="Z5" s="439"/>
      <c r="AA5" s="439"/>
      <c r="AB5" s="440"/>
      <c r="AC5" s="441" t="s">
        <v>1972</v>
      </c>
      <c r="AD5" s="442"/>
      <c r="AE5" s="442"/>
      <c r="AF5" s="442"/>
      <c r="AG5" s="442"/>
      <c r="AH5" s="442"/>
      <c r="AI5" s="443"/>
      <c r="AJ5" s="441" t="s">
        <v>1973</v>
      </c>
      <c r="AK5" s="442"/>
      <c r="AL5" s="442"/>
      <c r="AM5" s="442"/>
      <c r="AN5" s="442"/>
      <c r="AO5" s="442"/>
      <c r="AP5" s="442"/>
      <c r="AQ5" s="443"/>
      <c r="AR5" s="433" t="s">
        <v>1974</v>
      </c>
      <c r="AS5" s="447" t="s">
        <v>1975</v>
      </c>
    </row>
    <row r="6" spans="1:47" ht="59.25" customHeight="1" thickBot="1">
      <c r="A6" s="434"/>
      <c r="B6" s="433" t="s">
        <v>1976</v>
      </c>
      <c r="C6" s="433" t="s">
        <v>1977</v>
      </c>
      <c r="D6" s="449" t="s">
        <v>1978</v>
      </c>
      <c r="E6" s="433" t="s">
        <v>1979</v>
      </c>
      <c r="F6" s="433" t="s">
        <v>1980</v>
      </c>
      <c r="G6" s="433" t="s">
        <v>1981</v>
      </c>
      <c r="H6" s="433" t="s">
        <v>1982</v>
      </c>
      <c r="I6" s="433" t="s">
        <v>1983</v>
      </c>
      <c r="J6" s="433" t="s">
        <v>1984</v>
      </c>
      <c r="K6" s="433" t="s">
        <v>1985</v>
      </c>
      <c r="L6" s="451" t="s">
        <v>30</v>
      </c>
      <c r="M6" s="438" t="s">
        <v>1986</v>
      </c>
      <c r="N6" s="439"/>
      <c r="O6" s="439"/>
      <c r="P6" s="439"/>
      <c r="Q6" s="453" t="s">
        <v>1987</v>
      </c>
      <c r="R6" s="455" t="s">
        <v>1988</v>
      </c>
      <c r="S6" s="453" t="s">
        <v>1989</v>
      </c>
      <c r="T6" s="455" t="s">
        <v>1990</v>
      </c>
      <c r="U6" s="460" t="s">
        <v>1991</v>
      </c>
      <c r="V6" s="449" t="s">
        <v>1992</v>
      </c>
      <c r="W6" s="433" t="s">
        <v>1993</v>
      </c>
      <c r="X6" s="449" t="s">
        <v>1994</v>
      </c>
      <c r="Y6" s="433" t="s">
        <v>1995</v>
      </c>
      <c r="Z6" s="453" t="s">
        <v>1996</v>
      </c>
      <c r="AA6" s="462" t="s">
        <v>1997</v>
      </c>
      <c r="AB6" s="462" t="s">
        <v>1998</v>
      </c>
      <c r="AC6" s="444"/>
      <c r="AD6" s="445"/>
      <c r="AE6" s="445"/>
      <c r="AF6" s="445"/>
      <c r="AG6" s="445"/>
      <c r="AH6" s="445"/>
      <c r="AI6" s="446"/>
      <c r="AJ6" s="444"/>
      <c r="AK6" s="445"/>
      <c r="AL6" s="445"/>
      <c r="AM6" s="445"/>
      <c r="AN6" s="445"/>
      <c r="AO6" s="445"/>
      <c r="AP6" s="445"/>
      <c r="AQ6" s="446"/>
      <c r="AR6" s="434"/>
      <c r="AS6" s="448"/>
    </row>
    <row r="7" spans="1:47" ht="68.25" customHeight="1" thickBot="1">
      <c r="A7" s="434"/>
      <c r="B7" s="434"/>
      <c r="C7" s="434"/>
      <c r="D7" s="450"/>
      <c r="E7" s="434"/>
      <c r="F7" s="434"/>
      <c r="G7" s="434"/>
      <c r="H7" s="434"/>
      <c r="I7" s="434"/>
      <c r="J7" s="434"/>
      <c r="K7" s="434"/>
      <c r="L7" s="452"/>
      <c r="M7" s="453" t="s">
        <v>1999</v>
      </c>
      <c r="N7" s="455" t="s">
        <v>2000</v>
      </c>
      <c r="O7" s="458" t="s">
        <v>2001</v>
      </c>
      <c r="P7" s="459"/>
      <c r="Q7" s="454"/>
      <c r="R7" s="456"/>
      <c r="S7" s="454"/>
      <c r="T7" s="456"/>
      <c r="U7" s="461"/>
      <c r="V7" s="450"/>
      <c r="W7" s="434"/>
      <c r="X7" s="450"/>
      <c r="Y7" s="434"/>
      <c r="Z7" s="450"/>
      <c r="AA7" s="434"/>
      <c r="AB7" s="434"/>
      <c r="AC7" s="441" t="s">
        <v>2002</v>
      </c>
      <c r="AD7" s="439"/>
      <c r="AE7" s="439"/>
      <c r="AF7" s="439"/>
      <c r="AG7" s="439"/>
      <c r="AH7" s="440"/>
      <c r="AI7" s="433" t="s">
        <v>2003</v>
      </c>
      <c r="AJ7" s="438" t="s">
        <v>2004</v>
      </c>
      <c r="AK7" s="439"/>
      <c r="AL7" s="439"/>
      <c r="AM7" s="440"/>
      <c r="AN7" s="438" t="s">
        <v>2005</v>
      </c>
      <c r="AO7" s="439"/>
      <c r="AP7" s="439"/>
      <c r="AQ7" s="440"/>
      <c r="AR7" s="434"/>
      <c r="AS7" s="448"/>
    </row>
    <row r="8" spans="1:47" ht="33.75" customHeight="1" thickBot="1">
      <c r="A8" s="434"/>
      <c r="B8" s="434"/>
      <c r="C8" s="434"/>
      <c r="D8" s="450"/>
      <c r="E8" s="434"/>
      <c r="F8" s="434"/>
      <c r="G8" s="434"/>
      <c r="H8" s="434"/>
      <c r="I8" s="434"/>
      <c r="J8" s="434"/>
      <c r="K8" s="434"/>
      <c r="L8" s="452"/>
      <c r="M8" s="454"/>
      <c r="N8" s="456"/>
      <c r="O8" s="433" t="s">
        <v>2006</v>
      </c>
      <c r="P8" s="462" t="s">
        <v>2007</v>
      </c>
      <c r="Q8" s="454"/>
      <c r="R8" s="456"/>
      <c r="S8" s="454"/>
      <c r="T8" s="456"/>
      <c r="U8" s="461"/>
      <c r="V8" s="450"/>
      <c r="W8" s="434"/>
      <c r="X8" s="450"/>
      <c r="Y8" s="434"/>
      <c r="Z8" s="450"/>
      <c r="AA8" s="434"/>
      <c r="AB8" s="463"/>
      <c r="AC8" s="464" t="s">
        <v>2008</v>
      </c>
      <c r="AD8" s="445" t="s">
        <v>2009</v>
      </c>
      <c r="AE8" s="446"/>
      <c r="AF8" s="434" t="s">
        <v>2010</v>
      </c>
      <c r="AG8" s="434" t="s">
        <v>2011</v>
      </c>
      <c r="AH8" s="434" t="s">
        <v>2012</v>
      </c>
      <c r="AI8" s="434"/>
      <c r="AJ8" s="433" t="s">
        <v>2006</v>
      </c>
      <c r="AK8" s="433" t="s">
        <v>2013</v>
      </c>
      <c r="AL8" s="433" t="s">
        <v>2014</v>
      </c>
      <c r="AM8" s="433" t="s">
        <v>2015</v>
      </c>
      <c r="AN8" s="433" t="s">
        <v>2006</v>
      </c>
      <c r="AO8" s="433" t="s">
        <v>2013</v>
      </c>
      <c r="AP8" s="433" t="s">
        <v>2014</v>
      </c>
      <c r="AQ8" s="433" t="s">
        <v>2015</v>
      </c>
      <c r="AR8" s="434"/>
      <c r="AS8" s="448"/>
    </row>
    <row r="9" spans="1:47" ht="70.5" customHeight="1" thickBot="1">
      <c r="A9" s="434"/>
      <c r="B9" s="434"/>
      <c r="C9" s="434"/>
      <c r="D9" s="450"/>
      <c r="E9" s="434"/>
      <c r="F9" s="434"/>
      <c r="G9" s="434"/>
      <c r="H9" s="434"/>
      <c r="I9" s="434"/>
      <c r="J9" s="434"/>
      <c r="K9" s="434"/>
      <c r="L9" s="452"/>
      <c r="M9" s="454"/>
      <c r="N9" s="457"/>
      <c r="O9" s="434"/>
      <c r="P9" s="463"/>
      <c r="Q9" s="454"/>
      <c r="R9" s="457"/>
      <c r="S9" s="454"/>
      <c r="T9" s="457"/>
      <c r="U9" s="461"/>
      <c r="V9" s="450"/>
      <c r="W9" s="434"/>
      <c r="X9" s="450"/>
      <c r="Y9" s="434"/>
      <c r="Z9" s="450"/>
      <c r="AA9" s="434"/>
      <c r="AB9" s="463"/>
      <c r="AC9" s="465"/>
      <c r="AD9" s="149" t="s">
        <v>2016</v>
      </c>
      <c r="AE9" s="150" t="s">
        <v>2017</v>
      </c>
      <c r="AF9" s="434"/>
      <c r="AG9" s="434"/>
      <c r="AH9" s="434"/>
      <c r="AI9" s="434"/>
      <c r="AJ9" s="434"/>
      <c r="AK9" s="434"/>
      <c r="AL9" s="434"/>
      <c r="AM9" s="434"/>
      <c r="AN9" s="434"/>
      <c r="AO9" s="434"/>
      <c r="AP9" s="434"/>
      <c r="AQ9" s="434"/>
      <c r="AR9" s="434"/>
      <c r="AS9" s="448"/>
    </row>
    <row r="10" spans="1:47" ht="15.75" thickBot="1">
      <c r="A10" s="151">
        <f>A3</f>
        <v>45444</v>
      </c>
      <c r="B10" s="152">
        <f ca="1">AppsAll(A10&lt;TODAY(),COUNTIF(INDIRECT("'"&amp;DAY($A10)&amp;"'!$C$8:$C$47"),"&gt;0"))</f>
        <v>21</v>
      </c>
      <c r="C10" s="153">
        <f ca="1">AppsAll(A10&lt;TODAY(),АП!$AK$15)</f>
        <v>11</v>
      </c>
      <c r="D10" s="301" t="str">
        <f ca="1">AppsAll(A10&lt;TODAY(),COUNTIF(INDIRECT("'"&amp;DAY($A10)&amp;"'!$W$8:$W$47"),"Резерв"))</f>
        <v/>
      </c>
      <c r="E10" s="153" t="str">
        <f ca="1">AppsAll(A10&lt;TODAY(),COUNTIF(INDIRECT("'"&amp;DAY($A10)&amp;"'!$W$8:$W$47"),"На списанні"))</f>
        <v/>
      </c>
      <c r="F10" s="153" t="str">
        <f ca="1">AppsAll(A10&lt;TODAY(),COUNTIF(INDIRECT("'"&amp;DAY($A10)&amp;"'!$W$8:$W$47"),"Ремонт"))</f>
        <v/>
      </c>
      <c r="G10" s="153" t="str">
        <f ca="1">AppsAll(A10&lt;TODAY(),COUNTIF(INDIRECT("'"&amp;DAY($A10)&amp;"'!$W$8:$W$47"),"Тех. Заняття"))</f>
        <v/>
      </c>
      <c r="H10" s="153" t="str">
        <f ca="1">AppsAll(A10&lt;TODAY(),COUNTIF(INDIRECT("'"&amp;DAY($A10)&amp;"'!$W$8:$W$47"),"Т.О."))</f>
        <v/>
      </c>
      <c r="I10" s="153">
        <f ca="1">AppsAll(A10&lt;TODAY(),IFERROR(B10-SUM(D10,E10,F10,G10,H10,L10),0))</f>
        <v>21</v>
      </c>
      <c r="J10" s="153"/>
      <c r="K10" s="154"/>
      <c r="L10" s="155" t="str">
        <f ca="1">AppsAll(A10&lt;TODAY(),SUM(N10,R10,T10,U10))</f>
        <v/>
      </c>
      <c r="M10" s="156" t="str">
        <f ca="1">AppsAll($A10&lt;TODAY(),COUNTIF(INDIRECT("'"&amp;DAY($A10)&amp;"'!$G$8:$G$27"),"&gt;0"))</f>
        <v/>
      </c>
      <c r="N10" s="157" t="str">
        <f ca="1">AppsAll($A10&lt;TODAY(),COUNTIF(INDIRECT("'"&amp;DAY($A10)&amp;"'!$H$8:$H$27"),"&gt;0"))</f>
        <v/>
      </c>
      <c r="O10" s="153">
        <f ca="1">AppsAll(A10&lt;TODAY(),COUNTIF(INDIRECT("'"&amp;DAY($A10)&amp;"'!$B$8:$B$28"),"УДС2-73")+COUNTIF(INDIRECT("'"&amp;DAY($A10)&amp;"'!$B$8:$B$28"),"РДМ-2?"))</f>
        <v>8</v>
      </c>
      <c r="P10" s="157" t="str">
        <f ca="1">AppsAll($A10&lt;TODAY(),SUM(COUNTIFS(INDIRECT("'"&amp;DAY($A10)&amp;"'!$H$8:$H$27"),"&gt;0",INDIRECT("'"&amp;DAY($A10)&amp;"'!$B$8:$B$27"),"РДМ-2?"),COUNTIFS(INDIRECT("'"&amp;DAY($A10)&amp;"'!$H$8:$H$27"),"&gt;0",INDIRECT("'"&amp;DAY($A10)&amp;"'!$B$8:$B$27"),"УДС2-73")))</f>
        <v/>
      </c>
      <c r="Q10" s="309" t="str">
        <f ca="1">AppsAll($A10&lt;TODAY(),COUNTIF(INDIRECT("'"&amp;DAY($A10)&amp;"'!$I$28:$I$37"),"&gt;0"))</f>
        <v/>
      </c>
      <c r="R10" s="157" t="str">
        <f ca="1">AppsAll($A10&lt;TODAY(),COUNTIF(INDIRECT("'"&amp;DAY($A10)&amp;"'!$J$28:$J$37"),"&gt;0"))</f>
        <v/>
      </c>
      <c r="S10" s="158" t="str">
        <f ca="1">AppsAll($A10&lt;TODAY(),COUNTIF(INDIRECT("'"&amp;DAY($A10)&amp;"'!$K$38:$K$47"),"&gt;0"))</f>
        <v/>
      </c>
      <c r="T10" s="157" t="str">
        <f ca="1">AppsAll($A10&lt;TODAY(),COUNTIF(INDIRECT("'"&amp;DAY($A10)&amp;"'!$L$38:$L$47"),"&gt;0"))</f>
        <v/>
      </c>
      <c r="U10" s="154" t="str">
        <f ca="1">AppsAll($A10&lt;TODAY(),COUNTIF(INDIRECT("'"&amp;DAY($A10)&amp;"'!$P$38:$P$47"),"&gt;0")-COUNTIF(INDIRECT("'"&amp;DAY($A10)&amp;"'!$L$38:$L$47"),"&gt;0"))</f>
        <v/>
      </c>
      <c r="V10" s="159" t="str">
        <f ca="1">AppsAll($A10&lt;TODAY(),INDIRECT("'"&amp;DAY($A10)&amp;"'!$G$48"))</f>
        <v/>
      </c>
      <c r="W10" s="160" t="str">
        <f ca="1">AppsAll($A10&lt;TODAY(),INDIRECT("'"&amp;DAY($A10)&amp;"'!$H$48"))</f>
        <v/>
      </c>
      <c r="X10" s="161" t="str">
        <f ca="1">AppsAll($A10&lt;TODAY(),INDIRECT("'"&amp;DAY($A10)&amp;"'!$I$48"))</f>
        <v/>
      </c>
      <c r="Y10" s="153" t="str">
        <f ca="1">AppsAll($A10&lt;TODAY(),INDIRECT("'"&amp;DAY($A10)&amp;"'!$J$48"))</f>
        <v/>
      </c>
      <c r="Z10" s="158" t="str">
        <f ca="1">AppsAll($A10&lt;TODAY(),INDIRECT("'"&amp;DAY($A10)&amp;"'!$K$48"))</f>
        <v/>
      </c>
      <c r="AA10" s="153" t="str">
        <f ca="1">AppsAll($A10&lt;TODAY(),INDIRECT("'"&amp;DAY($A10)&amp;"'!$L$48"))</f>
        <v/>
      </c>
      <c r="AB10" s="153" t="str">
        <f ca="1">AppsAll($A10&lt;TODAY(),INDIRECT("'"&amp;DAY($A10)&amp;"'!$M$48"))</f>
        <v/>
      </c>
      <c r="AC10" s="162" t="str">
        <f ca="1">AppsAll($A10&lt;TODAY(),INDIRECT("'"&amp;DAY($A10)&amp;"'!$O$48"))</f>
        <v/>
      </c>
      <c r="AD10" s="163"/>
      <c r="AE10" s="154"/>
      <c r="AF10" s="163"/>
      <c r="AG10" s="153"/>
      <c r="AH10" s="154"/>
      <c r="AI10" s="164" t="str">
        <f ca="1">AppsAll($A10&lt;TODAY(),INDIRECT("'"&amp;DAY($A10)&amp;"'!$N$48"))</f>
        <v/>
      </c>
      <c r="AJ10" s="165">
        <v>380</v>
      </c>
      <c r="AK10" s="160"/>
      <c r="AL10" s="166"/>
      <c r="AM10" s="167">
        <f ca="1">AppsAll($A10&lt;TODAY(),IFERROR(SUM(AJ10,AK10)-AL10,SUM(AJ10,AK10)))</f>
        <v>380</v>
      </c>
      <c r="AN10" s="165">
        <v>3</v>
      </c>
      <c r="AO10" s="160"/>
      <c r="AP10" s="168"/>
      <c r="AQ10" s="167">
        <f ca="1">AppsAll($A10&lt;TODAY(),IFERROR(SUM(AN10,AO10)-AP10,SUM(AN10,AO10)))</f>
        <v>3</v>
      </c>
      <c r="AR10" s="169"/>
      <c r="AS10" s="170" t="str">
        <f ca="1">AppsAll($A10&lt;TODAY(),IFERROR("",SUM(D10,E10,F10,G10,H10,I10,L10)-B10))</f>
        <v/>
      </c>
      <c r="AT10" s="329"/>
      <c r="AU10" s="329"/>
    </row>
    <row r="11" spans="1:47" ht="15.75" thickBot="1">
      <c r="A11" s="171">
        <f>A10+1</f>
        <v>45445</v>
      </c>
      <c r="B11" s="172">
        <f t="shared" ref="B11:B40" ca="1" si="0">AppsAll(A11&lt;TODAY(),COUNTIF(INDIRECT("'"&amp;DAY($A11)&amp;"'!$C$8:$C$47"),"&gt;0"))</f>
        <v>21</v>
      </c>
      <c r="C11" s="172">
        <f ca="1">AppsAll(A11&lt;TODAY(),АП!$AK$15)</f>
        <v>11</v>
      </c>
      <c r="D11" s="172" t="str">
        <f t="shared" ref="D11:D40" ca="1" si="1">AppsAll(A11&lt;TODAY(),COUNTIF(INDIRECT("'"&amp;DAY($A11)&amp;"'!$W$8:$W$47"),"Резерв"))</f>
        <v/>
      </c>
      <c r="E11" s="172" t="str">
        <f t="shared" ref="E11:E40" ca="1" si="2">AppsAll(A11&lt;TODAY(),COUNTIF(INDIRECT("'"&amp;DAY($A11)&amp;"'!$W$8:$W$47"),"На списанні"))</f>
        <v/>
      </c>
      <c r="F11" s="173" t="str">
        <f t="shared" ref="F11:F40" ca="1" si="3">AppsAll(A11&lt;TODAY(),COUNTIF(INDIRECT("'"&amp;DAY($A11)&amp;"'!$W$8:$W$47"),"Ремонт"))</f>
        <v/>
      </c>
      <c r="G11" s="173" t="str">
        <f t="shared" ref="G11:G40" ca="1" si="4">AppsAll(A11&lt;TODAY(),COUNTIF(INDIRECT("'"&amp;DAY($A11)&amp;"'!$W$8:$W$47"),"Тех. Заняття"))</f>
        <v/>
      </c>
      <c r="H11" s="173" t="str">
        <f t="shared" ref="H11:H40" ca="1" si="5">AppsAll(A11&lt;TODAY(),COUNTIF(INDIRECT("'"&amp;DAY($A11)&amp;"'!$W$8:$W$47"),"Т.О."))</f>
        <v/>
      </c>
      <c r="I11" s="173">
        <f t="shared" ref="I11:I40" ca="1" si="6">AppsAll(A11&lt;TODAY(),IFERROR(B11-SUM(D11,E11,F11,G11,H11,L11),0))</f>
        <v>20</v>
      </c>
      <c r="J11" s="173"/>
      <c r="K11" s="174"/>
      <c r="L11" s="155">
        <f t="shared" ref="L11:L40" ca="1" si="7">AppsAll(A11&lt;TODAY(),SUM(N11,R11,T11,U11))</f>
        <v>1</v>
      </c>
      <c r="M11" s="175" t="str">
        <f t="shared" ref="M11:M40" ca="1" si="8">AppsAll($A11&lt;TODAY(),COUNTIF(INDIRECT("'"&amp;DAY($A11)&amp;"'!$G$8:$G$27"),"&gt;0"))</f>
        <v/>
      </c>
      <c r="N11" s="176" t="str">
        <f t="shared" ref="N11:N40" ca="1" si="9">AppsAll($A11&lt;TODAY(),COUNTIF(INDIRECT("'"&amp;DAY($A11)&amp;"'!$H$8:$H$27"),"&gt;0"))</f>
        <v/>
      </c>
      <c r="O11" s="173">
        <f t="shared" ref="O11:O40" ca="1" si="10">AppsAll(A11&lt;TODAY(),COUNTIF(INDIRECT("'"&amp;DAY($A11)&amp;"'!$B$8:$B$28"),"УДС2-73")+COUNTIF(INDIRECT("'"&amp;DAY($A11)&amp;"'!$B$8:$B$28"),"РДМ-2?"))</f>
        <v>8</v>
      </c>
      <c r="P11" s="176" t="str">
        <f t="shared" ref="P11:P40" ca="1" si="11">AppsAll($A11&lt;TODAY(),SUM(COUNTIFS(INDIRECT("'"&amp;DAY($A11)&amp;"'!$H$8:$H$27"),"&gt;0",INDIRECT("'"&amp;DAY($A11)&amp;"'!$B$8:$B$27"),"РДМ-2?"),COUNTIFS(INDIRECT("'"&amp;DAY($A11)&amp;"'!$H$8:$H$27"),"&gt;0",INDIRECT("'"&amp;DAY($A11)&amp;"'!$B$8:$B$27"),"УДС2-73")))</f>
        <v/>
      </c>
      <c r="Q11" s="310" t="str">
        <f t="shared" ref="Q11:Q40" ca="1" si="12">AppsAll($A11&lt;TODAY(),COUNTIF(INDIRECT("'"&amp;DAY($A11)&amp;"'!$I$28:$I$37"),"&gt;0"))</f>
        <v/>
      </c>
      <c r="R11" s="176" t="str">
        <f t="shared" ref="R11:R40" ca="1" si="13">AppsAll($A11&lt;TODAY(),COUNTIF(INDIRECT("'"&amp;DAY($A11)&amp;"'!$J$28:$J$37"),"&gt;0"))</f>
        <v/>
      </c>
      <c r="S11" s="177" t="str">
        <f t="shared" ref="S11:S40" ca="1" si="14">AppsAll($A11&lt;TODAY(),COUNTIF(INDIRECT("'"&amp;DAY($A11)&amp;"'!$K$38:$K$47"),"&gt;0"))</f>
        <v/>
      </c>
      <c r="T11" s="176">
        <f t="shared" ref="T11:T40" ca="1" si="15">AppsAll($A11&lt;TODAY(),COUNTIF(INDIRECT("'"&amp;DAY($A11)&amp;"'!$L$38:$L$47"),"&gt;0"))</f>
        <v>1</v>
      </c>
      <c r="U11" s="174" t="str">
        <f t="shared" ref="U11:U40" ca="1" si="16">AppsAll($A11&lt;TODAY(),COUNTIF(INDIRECT("'"&amp;DAY($A11)&amp;"'!$P$38:$P$47"),"&gt;0")-COUNTIF(INDIRECT("'"&amp;DAY($A11)&amp;"'!$L$38:$L$47"),"&gt;0"))</f>
        <v/>
      </c>
      <c r="V11" s="178" t="str">
        <f t="shared" ref="V11:V40" ca="1" si="17">AppsAll($A11&lt;TODAY(),INDIRECT("'"&amp;DAY($A11)&amp;"'!$G$48"))</f>
        <v/>
      </c>
      <c r="W11" s="179" t="str">
        <f t="shared" ref="W11:W40" ca="1" si="18">AppsAll($A11&lt;TODAY(),INDIRECT("'"&amp;DAY($A11)&amp;"'!$H$48"))</f>
        <v/>
      </c>
      <c r="X11" s="180" t="str">
        <f t="shared" ref="X11:X40" ca="1" si="19">AppsAll($A11&lt;TODAY(),INDIRECT("'"&amp;DAY($A11)&amp;"'!$I$48"))</f>
        <v/>
      </c>
      <c r="Y11" s="173" t="str">
        <f t="shared" ref="Y11:Y40" ca="1" si="20">AppsAll($A11&lt;TODAY(),INDIRECT("'"&amp;DAY($A11)&amp;"'!$J$48"))</f>
        <v/>
      </c>
      <c r="Z11" s="177" t="str">
        <f t="shared" ref="Z11:Z40" ca="1" si="21">AppsAll($A11&lt;TODAY(),INDIRECT("'"&amp;DAY($A11)&amp;"'!$K$48"))</f>
        <v/>
      </c>
      <c r="AA11" s="173">
        <f t="shared" ref="AA11:AA40" ca="1" si="22">AppsAll($A11&lt;TODAY(),INDIRECT("'"&amp;DAY($A11)&amp;"'!$L$48"))</f>
        <v>12</v>
      </c>
      <c r="AB11" s="174" t="str">
        <f t="shared" ref="AB11:AB40" ca="1" si="23">AppsAll($A11&lt;TODAY(),INDIRECT("'"&amp;DAY($A11)&amp;"'!$M$48"))</f>
        <v/>
      </c>
      <c r="AC11" s="162" t="str">
        <f t="shared" ref="AC11:AC40" ca="1" si="24">AppsAll($A11&lt;TODAY(),INDIRECT("'"&amp;DAY($A11)&amp;"'!$O$48"))</f>
        <v/>
      </c>
      <c r="AD11" s="181"/>
      <c r="AE11" s="174"/>
      <c r="AF11" s="181"/>
      <c r="AG11" s="173"/>
      <c r="AH11" s="174"/>
      <c r="AI11" s="182" t="str">
        <f t="shared" ref="AI11:AI40" ca="1" si="25">AppsAll($A11&lt;TODAY(),INDIRECT("'"&amp;DAY($A11)&amp;"'!$N$48"))</f>
        <v/>
      </c>
      <c r="AJ11" s="183">
        <f ca="1">AppsAll($A10&lt;TODAY(),AM10)</f>
        <v>380</v>
      </c>
      <c r="AK11" s="179"/>
      <c r="AL11" s="184"/>
      <c r="AM11" s="185">
        <f t="shared" ref="AM11:AM40" ca="1" si="26">AppsAll($A11&lt;TODAY(),IFERROR(SUM(AJ11,AK11)-AL11,SUM(AJ11,AK11)))</f>
        <v>380</v>
      </c>
      <c r="AN11" s="186">
        <f ca="1">AppsAll($A10&lt;TODAY(),AQ10)</f>
        <v>3</v>
      </c>
      <c r="AO11" s="179"/>
      <c r="AP11" s="187">
        <v>2</v>
      </c>
      <c r="AQ11" s="185">
        <f t="shared" ref="AQ11:AQ40" ca="1" si="27">AppsAll($A11&lt;TODAY(),IFERROR(SUM(AN11,AO11)-AP11,SUM(AN11,AO11)))</f>
        <v>1</v>
      </c>
      <c r="AR11" s="188">
        <v>23</v>
      </c>
      <c r="AS11" s="162" t="str">
        <f t="shared" ref="AS11:AS40" ca="1" si="28">AppsAll($A11&lt;TODAY(),IFERROR("",SUM(D11,E11,F11,G11,H11,I11,L11)-B11))</f>
        <v/>
      </c>
    </row>
    <row r="12" spans="1:47" ht="15.75" thickBot="1">
      <c r="A12" s="171">
        <f t="shared" ref="A12:A40" si="29">A11+1</f>
        <v>45446</v>
      </c>
      <c r="B12" s="172">
        <f t="shared" ca="1" si="0"/>
        <v>21</v>
      </c>
      <c r="C12" s="172">
        <f ca="1">AppsAll(A12&lt;TODAY(),АП!$AK$15)</f>
        <v>11</v>
      </c>
      <c r="D12" s="172">
        <f t="shared" ca="1" si="1"/>
        <v>7</v>
      </c>
      <c r="E12" s="172">
        <f t="shared" ca="1" si="2"/>
        <v>3</v>
      </c>
      <c r="F12" s="173">
        <f t="shared" ca="1" si="3"/>
        <v>5</v>
      </c>
      <c r="G12" s="173" t="str">
        <f t="shared" ca="1" si="4"/>
        <v/>
      </c>
      <c r="H12" s="173" t="str">
        <f t="shared" ca="1" si="5"/>
        <v/>
      </c>
      <c r="I12" s="173" t="str">
        <f t="shared" ca="1" si="6"/>
        <v/>
      </c>
      <c r="J12" s="173"/>
      <c r="K12" s="174"/>
      <c r="L12" s="155">
        <f t="shared" ca="1" si="7"/>
        <v>6</v>
      </c>
      <c r="M12" s="175">
        <f t="shared" ca="1" si="8"/>
        <v>4</v>
      </c>
      <c r="N12" s="176">
        <f t="shared" ca="1" si="9"/>
        <v>4</v>
      </c>
      <c r="O12" s="173">
        <f t="shared" ca="1" si="10"/>
        <v>8</v>
      </c>
      <c r="P12" s="176">
        <f t="shared" ca="1" si="11"/>
        <v>3</v>
      </c>
      <c r="Q12" s="310">
        <f t="shared" ca="1" si="12"/>
        <v>1</v>
      </c>
      <c r="R12" s="176">
        <f t="shared" ca="1" si="13"/>
        <v>1</v>
      </c>
      <c r="S12" s="177" t="str">
        <f t="shared" ca="1" si="14"/>
        <v/>
      </c>
      <c r="T12" s="176">
        <f t="shared" ca="1" si="15"/>
        <v>1</v>
      </c>
      <c r="U12" s="174" t="str">
        <f t="shared" ca="1" si="16"/>
        <v/>
      </c>
      <c r="V12" s="178">
        <f t="shared" ca="1" si="17"/>
        <v>20.399999999999999</v>
      </c>
      <c r="W12" s="179">
        <f t="shared" ca="1" si="18"/>
        <v>20.399999999999999</v>
      </c>
      <c r="X12" s="180">
        <f t="shared" ca="1" si="19"/>
        <v>34</v>
      </c>
      <c r="Y12" s="173">
        <f t="shared" ca="1" si="20"/>
        <v>34</v>
      </c>
      <c r="Z12" s="177" t="str">
        <f t="shared" ca="1" si="21"/>
        <v/>
      </c>
      <c r="AA12" s="173">
        <f t="shared" ca="1" si="22"/>
        <v>4</v>
      </c>
      <c r="AB12" s="174">
        <f t="shared" ca="1" si="23"/>
        <v>1</v>
      </c>
      <c r="AC12" s="162" t="str">
        <f t="shared" ca="1" si="24"/>
        <v/>
      </c>
      <c r="AD12" s="181"/>
      <c r="AE12" s="174"/>
      <c r="AF12" s="181"/>
      <c r="AG12" s="173"/>
      <c r="AH12" s="174"/>
      <c r="AI12" s="182" t="str">
        <f t="shared" ca="1" si="25"/>
        <v/>
      </c>
      <c r="AJ12" s="183">
        <f t="shared" ref="AJ12:AJ40" ca="1" si="30">IF(A12="","",AM11)</f>
        <v>380</v>
      </c>
      <c r="AK12" s="179"/>
      <c r="AL12" s="184"/>
      <c r="AM12" s="185">
        <f t="shared" ca="1" si="26"/>
        <v>380</v>
      </c>
      <c r="AN12" s="186">
        <f t="shared" ref="AN12:AN40" ca="1" si="31">AppsAll($A11&lt;TODAY(),AQ11)</f>
        <v>1</v>
      </c>
      <c r="AO12" s="179"/>
      <c r="AP12" s="187"/>
      <c r="AQ12" s="185">
        <f t="shared" ca="1" si="27"/>
        <v>1</v>
      </c>
      <c r="AR12" s="189">
        <v>25</v>
      </c>
      <c r="AS12" s="162" t="str">
        <f t="shared" ca="1" si="28"/>
        <v/>
      </c>
    </row>
    <row r="13" spans="1:47" ht="15.75" thickBot="1">
      <c r="A13" s="171">
        <f t="shared" si="29"/>
        <v>45447</v>
      </c>
      <c r="B13" s="172">
        <f t="shared" ca="1" si="0"/>
        <v>21</v>
      </c>
      <c r="C13" s="190">
        <f ca="1">AppsAll(A13&lt;TODAY(),АП!$AK$15)</f>
        <v>11</v>
      </c>
      <c r="D13" s="190">
        <f t="shared" ca="1" si="1"/>
        <v>6</v>
      </c>
      <c r="E13" s="190">
        <f t="shared" ca="1" si="2"/>
        <v>3</v>
      </c>
      <c r="F13" s="173">
        <f t="shared" ca="1" si="3"/>
        <v>5</v>
      </c>
      <c r="G13" s="173" t="str">
        <f t="shared" ca="1" si="4"/>
        <v/>
      </c>
      <c r="H13" s="173" t="str">
        <f t="shared" ca="1" si="5"/>
        <v/>
      </c>
      <c r="I13" s="173" t="str">
        <f t="shared" ca="1" si="6"/>
        <v/>
      </c>
      <c r="J13" s="173"/>
      <c r="K13" s="174"/>
      <c r="L13" s="155">
        <f t="shared" ca="1" si="7"/>
        <v>7</v>
      </c>
      <c r="M13" s="175">
        <f t="shared" ca="1" si="8"/>
        <v>4</v>
      </c>
      <c r="N13" s="176">
        <f t="shared" ca="1" si="9"/>
        <v>4</v>
      </c>
      <c r="O13" s="173">
        <f t="shared" ca="1" si="10"/>
        <v>8</v>
      </c>
      <c r="P13" s="176">
        <f t="shared" ca="1" si="11"/>
        <v>3</v>
      </c>
      <c r="Q13" s="310">
        <f t="shared" ca="1" si="12"/>
        <v>1</v>
      </c>
      <c r="R13" s="176">
        <f t="shared" ca="1" si="13"/>
        <v>1</v>
      </c>
      <c r="S13" s="177">
        <f t="shared" ca="1" si="14"/>
        <v>1</v>
      </c>
      <c r="T13" s="176">
        <f t="shared" ca="1" si="15"/>
        <v>2</v>
      </c>
      <c r="U13" s="174" t="str">
        <f t="shared" ca="1" si="16"/>
        <v/>
      </c>
      <c r="V13" s="178">
        <f t="shared" ca="1" si="17"/>
        <v>22.9</v>
      </c>
      <c r="W13" s="179">
        <f t="shared" ca="1" si="18"/>
        <v>22.9</v>
      </c>
      <c r="X13" s="180">
        <f t="shared" ca="1" si="19"/>
        <v>50</v>
      </c>
      <c r="Y13" s="173">
        <f t="shared" ca="1" si="20"/>
        <v>50</v>
      </c>
      <c r="Z13" s="177">
        <f t="shared" ca="1" si="21"/>
        <v>120</v>
      </c>
      <c r="AA13" s="173">
        <f t="shared" ca="1" si="22"/>
        <v>129</v>
      </c>
      <c r="AB13" s="174">
        <f t="shared" ca="1" si="23"/>
        <v>5</v>
      </c>
      <c r="AC13" s="162" t="str">
        <f t="shared" ca="1" si="24"/>
        <v/>
      </c>
      <c r="AD13" s="181"/>
      <c r="AE13" s="174"/>
      <c r="AF13" s="181"/>
      <c r="AG13" s="173"/>
      <c r="AH13" s="174"/>
      <c r="AI13" s="182" t="str">
        <f t="shared" ca="1" si="25"/>
        <v/>
      </c>
      <c r="AJ13" s="183">
        <f t="shared" ca="1" si="30"/>
        <v>380</v>
      </c>
      <c r="AK13" s="179"/>
      <c r="AL13" s="184"/>
      <c r="AM13" s="185">
        <f t="shared" ca="1" si="26"/>
        <v>380</v>
      </c>
      <c r="AN13" s="186">
        <f t="shared" ca="1" si="31"/>
        <v>1</v>
      </c>
      <c r="AO13" s="179">
        <v>20</v>
      </c>
      <c r="AP13" s="187">
        <v>1</v>
      </c>
      <c r="AQ13" s="185">
        <f t="shared" ca="1" si="27"/>
        <v>20</v>
      </c>
      <c r="AR13" s="188">
        <v>28</v>
      </c>
      <c r="AS13" s="162" t="str">
        <f t="shared" ca="1" si="28"/>
        <v/>
      </c>
    </row>
    <row r="14" spans="1:47" ht="15.75" thickBot="1">
      <c r="A14" s="171">
        <f t="shared" si="29"/>
        <v>45448</v>
      </c>
      <c r="B14" s="172">
        <f t="shared" ca="1" si="0"/>
        <v>21</v>
      </c>
      <c r="C14" s="190">
        <f ca="1">AppsAll(A14&lt;TODAY(),АП!$AK$15)</f>
        <v>11</v>
      </c>
      <c r="D14" s="190">
        <f t="shared" ca="1" si="1"/>
        <v>6</v>
      </c>
      <c r="E14" s="190">
        <f t="shared" ca="1" si="2"/>
        <v>3</v>
      </c>
      <c r="F14" s="173">
        <f t="shared" ca="1" si="3"/>
        <v>5</v>
      </c>
      <c r="G14" s="173" t="str">
        <f t="shared" ca="1" si="4"/>
        <v/>
      </c>
      <c r="H14" s="173">
        <f t="shared" ca="1" si="5"/>
        <v>2</v>
      </c>
      <c r="I14" s="173" t="str">
        <f t="shared" ca="1" si="6"/>
        <v/>
      </c>
      <c r="J14" s="173"/>
      <c r="K14" s="191"/>
      <c r="L14" s="155">
        <f t="shared" ca="1" si="7"/>
        <v>5</v>
      </c>
      <c r="M14" s="175">
        <f t="shared" ca="1" si="8"/>
        <v>3</v>
      </c>
      <c r="N14" s="176">
        <f t="shared" ca="1" si="9"/>
        <v>3</v>
      </c>
      <c r="O14" s="173">
        <f t="shared" ca="1" si="10"/>
        <v>8</v>
      </c>
      <c r="P14" s="176">
        <f t="shared" ca="1" si="11"/>
        <v>3</v>
      </c>
      <c r="Q14" s="310">
        <f t="shared" ca="1" si="12"/>
        <v>1</v>
      </c>
      <c r="R14" s="176">
        <f t="shared" ca="1" si="13"/>
        <v>1</v>
      </c>
      <c r="S14" s="177" t="str">
        <f t="shared" ca="1" si="14"/>
        <v/>
      </c>
      <c r="T14" s="176">
        <f t="shared" ca="1" si="15"/>
        <v>1</v>
      </c>
      <c r="U14" s="174" t="str">
        <f t="shared" ca="1" si="16"/>
        <v/>
      </c>
      <c r="V14" s="192">
        <f t="shared" ca="1" si="17"/>
        <v>16.2</v>
      </c>
      <c r="W14" s="193">
        <f t="shared" ca="1" si="18"/>
        <v>16.2</v>
      </c>
      <c r="X14" s="180">
        <f t="shared" ca="1" si="19"/>
        <v>36</v>
      </c>
      <c r="Y14" s="173">
        <f t="shared" ca="1" si="20"/>
        <v>36</v>
      </c>
      <c r="Z14" s="177" t="str">
        <f t="shared" ca="1" si="21"/>
        <v/>
      </c>
      <c r="AA14" s="173">
        <f t="shared" ca="1" si="22"/>
        <v>6</v>
      </c>
      <c r="AB14" s="174" t="str">
        <f t="shared" ca="1" si="23"/>
        <v/>
      </c>
      <c r="AC14" s="162" t="str">
        <f t="shared" ca="1" si="24"/>
        <v/>
      </c>
      <c r="AD14" s="181"/>
      <c r="AE14" s="174"/>
      <c r="AF14" s="181"/>
      <c r="AG14" s="173"/>
      <c r="AH14" s="174"/>
      <c r="AI14" s="182">
        <f t="shared" ca="1" si="25"/>
        <v>1</v>
      </c>
      <c r="AJ14" s="183">
        <f t="shared" ca="1" si="30"/>
        <v>380</v>
      </c>
      <c r="AK14" s="179"/>
      <c r="AL14" s="184"/>
      <c r="AM14" s="185">
        <f t="shared" ca="1" si="26"/>
        <v>380</v>
      </c>
      <c r="AN14" s="186">
        <f t="shared" ca="1" si="31"/>
        <v>20</v>
      </c>
      <c r="AO14" s="179"/>
      <c r="AP14" s="187">
        <v>1</v>
      </c>
      <c r="AQ14" s="185">
        <f t="shared" ca="1" si="27"/>
        <v>19</v>
      </c>
      <c r="AR14" s="188">
        <v>30</v>
      </c>
      <c r="AS14" s="162" t="str">
        <f t="shared" ca="1" si="28"/>
        <v/>
      </c>
    </row>
    <row r="15" spans="1:47" ht="15.75" thickBot="1">
      <c r="A15" s="171">
        <f t="shared" si="29"/>
        <v>45449</v>
      </c>
      <c r="B15" s="172">
        <f t="shared" ca="1" si="0"/>
        <v>21</v>
      </c>
      <c r="C15" s="190">
        <f ca="1">AppsAll(A15&lt;TODAY(),АП!$AK$15)</f>
        <v>11</v>
      </c>
      <c r="D15" s="190">
        <f t="shared" ca="1" si="1"/>
        <v>7</v>
      </c>
      <c r="E15" s="190">
        <f t="shared" ca="1" si="2"/>
        <v>3</v>
      </c>
      <c r="F15" s="173">
        <f t="shared" ca="1" si="3"/>
        <v>5</v>
      </c>
      <c r="G15" s="173" t="str">
        <f t="shared" ca="1" si="4"/>
        <v/>
      </c>
      <c r="H15" s="173" t="str">
        <f t="shared" ca="1" si="5"/>
        <v/>
      </c>
      <c r="I15" s="173" t="str">
        <f t="shared" ca="1" si="6"/>
        <v/>
      </c>
      <c r="J15" s="173"/>
      <c r="K15" s="191"/>
      <c r="L15" s="155">
        <f t="shared" ca="1" si="7"/>
        <v>6</v>
      </c>
      <c r="M15" s="175">
        <f t="shared" ca="1" si="8"/>
        <v>5</v>
      </c>
      <c r="N15" s="176">
        <f t="shared" ca="1" si="9"/>
        <v>5</v>
      </c>
      <c r="O15" s="173">
        <f t="shared" ca="1" si="10"/>
        <v>8</v>
      </c>
      <c r="P15" s="176">
        <f t="shared" ca="1" si="11"/>
        <v>3</v>
      </c>
      <c r="Q15" s="310" t="str">
        <f t="shared" ca="1" si="12"/>
        <v/>
      </c>
      <c r="R15" s="176" t="str">
        <f t="shared" ca="1" si="13"/>
        <v/>
      </c>
      <c r="S15" s="177" t="str">
        <f t="shared" ca="1" si="14"/>
        <v/>
      </c>
      <c r="T15" s="176">
        <f t="shared" ca="1" si="15"/>
        <v>1</v>
      </c>
      <c r="U15" s="174" t="str">
        <f t="shared" ca="1" si="16"/>
        <v/>
      </c>
      <c r="V15" s="194">
        <f t="shared" ca="1" si="17"/>
        <v>39</v>
      </c>
      <c r="W15" s="193">
        <f t="shared" ca="1" si="18"/>
        <v>39</v>
      </c>
      <c r="X15" s="180">
        <f t="shared" ca="1" si="19"/>
        <v>17</v>
      </c>
      <c r="Y15" s="173">
        <f t="shared" ca="1" si="20"/>
        <v>17</v>
      </c>
      <c r="Z15" s="177" t="str">
        <f t="shared" ca="1" si="21"/>
        <v/>
      </c>
      <c r="AA15" s="173">
        <f t="shared" ca="1" si="22"/>
        <v>13</v>
      </c>
      <c r="AB15" s="174">
        <f t="shared" ca="1" si="23"/>
        <v>9</v>
      </c>
      <c r="AC15" s="162" t="str">
        <f t="shared" ca="1" si="24"/>
        <v/>
      </c>
      <c r="AD15" s="181"/>
      <c r="AE15" s="174"/>
      <c r="AF15" s="181"/>
      <c r="AG15" s="173"/>
      <c r="AH15" s="174"/>
      <c r="AI15" s="182" t="str">
        <f t="shared" ca="1" si="25"/>
        <v/>
      </c>
      <c r="AJ15" s="183">
        <f t="shared" ca="1" si="30"/>
        <v>380</v>
      </c>
      <c r="AK15" s="179"/>
      <c r="AL15" s="184"/>
      <c r="AM15" s="185">
        <f t="shared" ca="1" si="26"/>
        <v>380</v>
      </c>
      <c r="AN15" s="186">
        <f t="shared" ca="1" si="31"/>
        <v>19</v>
      </c>
      <c r="AO15" s="179"/>
      <c r="AP15" s="187">
        <v>1</v>
      </c>
      <c r="AQ15" s="185">
        <f t="shared" ca="1" si="27"/>
        <v>18</v>
      </c>
      <c r="AR15" s="188">
        <v>30</v>
      </c>
      <c r="AS15" s="162" t="str">
        <f t="shared" ca="1" si="28"/>
        <v/>
      </c>
    </row>
    <row r="16" spans="1:47" ht="15.75" thickBot="1">
      <c r="A16" s="171">
        <f t="shared" si="29"/>
        <v>45450</v>
      </c>
      <c r="B16" s="172">
        <f t="shared" ca="1" si="0"/>
        <v>21</v>
      </c>
      <c r="C16" s="190">
        <f ca="1">AppsAll(A16&lt;TODAY(),АП!$AK$15)</f>
        <v>11</v>
      </c>
      <c r="D16" s="190">
        <f t="shared" ca="1" si="1"/>
        <v>6</v>
      </c>
      <c r="E16" s="190">
        <f t="shared" ca="1" si="2"/>
        <v>3</v>
      </c>
      <c r="F16" s="173">
        <f t="shared" ca="1" si="3"/>
        <v>5</v>
      </c>
      <c r="G16" s="173" t="str">
        <f t="shared" ca="1" si="4"/>
        <v/>
      </c>
      <c r="H16" s="173" t="str">
        <f t="shared" ca="1" si="5"/>
        <v/>
      </c>
      <c r="I16" s="173" t="str">
        <f t="shared" ca="1" si="6"/>
        <v/>
      </c>
      <c r="J16" s="173"/>
      <c r="K16" s="191"/>
      <c r="L16" s="155">
        <f t="shared" ca="1" si="7"/>
        <v>7</v>
      </c>
      <c r="M16" s="175">
        <f t="shared" ca="1" si="8"/>
        <v>5</v>
      </c>
      <c r="N16" s="176">
        <f t="shared" ca="1" si="9"/>
        <v>5</v>
      </c>
      <c r="O16" s="173">
        <f t="shared" ca="1" si="10"/>
        <v>8</v>
      </c>
      <c r="P16" s="176">
        <f t="shared" ca="1" si="11"/>
        <v>3</v>
      </c>
      <c r="Q16" s="310" t="str">
        <f t="shared" ca="1" si="12"/>
        <v/>
      </c>
      <c r="R16" s="176" t="str">
        <f t="shared" ca="1" si="13"/>
        <v/>
      </c>
      <c r="S16" s="177" t="str">
        <f t="shared" ca="1" si="14"/>
        <v/>
      </c>
      <c r="T16" s="176">
        <f t="shared" ca="1" si="15"/>
        <v>2</v>
      </c>
      <c r="U16" s="174" t="str">
        <f t="shared" ca="1" si="16"/>
        <v/>
      </c>
      <c r="V16" s="194">
        <f t="shared" ca="1" si="17"/>
        <v>30.700000000000003</v>
      </c>
      <c r="W16" s="193">
        <f t="shared" ca="1" si="18"/>
        <v>30.700000000000003</v>
      </c>
      <c r="X16" s="180">
        <f t="shared" ca="1" si="19"/>
        <v>22</v>
      </c>
      <c r="Y16" s="173">
        <f t="shared" ca="1" si="20"/>
        <v>22</v>
      </c>
      <c r="Z16" s="177" t="str">
        <f t="shared" ca="1" si="21"/>
        <v/>
      </c>
      <c r="AA16" s="173">
        <f t="shared" ca="1" si="22"/>
        <v>15</v>
      </c>
      <c r="AB16" s="174">
        <f t="shared" ca="1" si="23"/>
        <v>11</v>
      </c>
      <c r="AC16" s="162" t="str">
        <f t="shared" ca="1" si="24"/>
        <v/>
      </c>
      <c r="AD16" s="181"/>
      <c r="AE16" s="174"/>
      <c r="AF16" s="181"/>
      <c r="AG16" s="173"/>
      <c r="AH16" s="174"/>
      <c r="AI16" s="182">
        <f t="shared" ca="1" si="25"/>
        <v>3</v>
      </c>
      <c r="AJ16" s="183">
        <f t="shared" ca="1" si="30"/>
        <v>380</v>
      </c>
      <c r="AK16" s="179"/>
      <c r="AL16" s="184"/>
      <c r="AM16" s="185">
        <f t="shared" ca="1" si="26"/>
        <v>380</v>
      </c>
      <c r="AN16" s="186">
        <f t="shared" ca="1" si="31"/>
        <v>18</v>
      </c>
      <c r="AO16" s="179"/>
      <c r="AP16" s="187">
        <v>2</v>
      </c>
      <c r="AQ16" s="185">
        <f t="shared" ca="1" si="27"/>
        <v>16</v>
      </c>
      <c r="AR16" s="188">
        <v>30</v>
      </c>
      <c r="AS16" s="162" t="str">
        <f t="shared" ca="1" si="28"/>
        <v/>
      </c>
    </row>
    <row r="17" spans="1:45" ht="15.75" thickBot="1">
      <c r="A17" s="171">
        <f t="shared" si="29"/>
        <v>45451</v>
      </c>
      <c r="B17" s="172">
        <f t="shared" ca="1" si="0"/>
        <v>21</v>
      </c>
      <c r="C17" s="190">
        <f ca="1">AppsAll(A17&lt;TODAY(),АП!$AK$15)</f>
        <v>11</v>
      </c>
      <c r="D17" s="190" t="str">
        <f t="shared" ca="1" si="1"/>
        <v/>
      </c>
      <c r="E17" s="190" t="str">
        <f t="shared" ca="1" si="2"/>
        <v/>
      </c>
      <c r="F17" s="173" t="str">
        <f t="shared" ca="1" si="3"/>
        <v/>
      </c>
      <c r="G17" s="173" t="str">
        <f t="shared" ca="1" si="4"/>
        <v/>
      </c>
      <c r="H17" s="173" t="str">
        <f t="shared" ca="1" si="5"/>
        <v/>
      </c>
      <c r="I17" s="173">
        <f t="shared" ca="1" si="6"/>
        <v>20</v>
      </c>
      <c r="J17" s="173"/>
      <c r="K17" s="191"/>
      <c r="L17" s="155">
        <f t="shared" ca="1" si="7"/>
        <v>1</v>
      </c>
      <c r="M17" s="175" t="str">
        <f t="shared" ca="1" si="8"/>
        <v/>
      </c>
      <c r="N17" s="176" t="str">
        <f t="shared" ca="1" si="9"/>
        <v/>
      </c>
      <c r="O17" s="173">
        <f t="shared" ca="1" si="10"/>
        <v>8</v>
      </c>
      <c r="P17" s="176" t="str">
        <f t="shared" ca="1" si="11"/>
        <v/>
      </c>
      <c r="Q17" s="310" t="str">
        <f t="shared" ca="1" si="12"/>
        <v/>
      </c>
      <c r="R17" s="176" t="str">
        <f t="shared" ca="1" si="13"/>
        <v/>
      </c>
      <c r="S17" s="177" t="str">
        <f t="shared" ca="1" si="14"/>
        <v/>
      </c>
      <c r="T17" s="176">
        <f t="shared" ca="1" si="15"/>
        <v>1</v>
      </c>
      <c r="U17" s="174" t="str">
        <f t="shared" ca="1" si="16"/>
        <v/>
      </c>
      <c r="V17" s="194" t="str">
        <f t="shared" ca="1" si="17"/>
        <v/>
      </c>
      <c r="W17" s="193" t="str">
        <f t="shared" ca="1" si="18"/>
        <v/>
      </c>
      <c r="X17" s="180" t="str">
        <f t="shared" ca="1" si="19"/>
        <v/>
      </c>
      <c r="Y17" s="173" t="str">
        <f t="shared" ca="1" si="20"/>
        <v/>
      </c>
      <c r="Z17" s="177" t="str">
        <f t="shared" ca="1" si="21"/>
        <v/>
      </c>
      <c r="AA17" s="173">
        <f t="shared" ca="1" si="22"/>
        <v>5</v>
      </c>
      <c r="AB17" s="174" t="str">
        <f t="shared" ca="1" si="23"/>
        <v/>
      </c>
      <c r="AC17" s="162" t="str">
        <f t="shared" ca="1" si="24"/>
        <v/>
      </c>
      <c r="AD17" s="181"/>
      <c r="AE17" s="174"/>
      <c r="AF17" s="181"/>
      <c r="AG17" s="173"/>
      <c r="AH17" s="174"/>
      <c r="AI17" s="182" t="str">
        <f t="shared" ca="1" si="25"/>
        <v/>
      </c>
      <c r="AJ17" s="183">
        <f t="shared" ca="1" si="30"/>
        <v>380</v>
      </c>
      <c r="AK17" s="179"/>
      <c r="AL17" s="184"/>
      <c r="AM17" s="185">
        <f t="shared" ca="1" si="26"/>
        <v>380</v>
      </c>
      <c r="AN17" s="186">
        <f t="shared" ca="1" si="31"/>
        <v>16</v>
      </c>
      <c r="AO17" s="179"/>
      <c r="AP17" s="187">
        <v>1</v>
      </c>
      <c r="AQ17" s="185">
        <f t="shared" ca="1" si="27"/>
        <v>15</v>
      </c>
      <c r="AR17" s="188">
        <v>25</v>
      </c>
      <c r="AS17" s="162" t="str">
        <f t="shared" ca="1" si="28"/>
        <v/>
      </c>
    </row>
    <row r="18" spans="1:45" ht="15.75" thickBot="1">
      <c r="A18" s="171">
        <f t="shared" si="29"/>
        <v>45452</v>
      </c>
      <c r="B18" s="172">
        <f t="shared" ca="1" si="0"/>
        <v>21</v>
      </c>
      <c r="C18" s="190">
        <f ca="1">AppsAll(A18&lt;TODAY(),АП!$AK$15)</f>
        <v>11</v>
      </c>
      <c r="D18" s="190" t="str">
        <f t="shared" ca="1" si="1"/>
        <v/>
      </c>
      <c r="E18" s="190" t="str">
        <f t="shared" ca="1" si="2"/>
        <v/>
      </c>
      <c r="F18" s="173" t="str">
        <f t="shared" ca="1" si="3"/>
        <v/>
      </c>
      <c r="G18" s="173" t="str">
        <f t="shared" ca="1" si="4"/>
        <v/>
      </c>
      <c r="H18" s="173" t="str">
        <f t="shared" ca="1" si="5"/>
        <v/>
      </c>
      <c r="I18" s="173">
        <f t="shared" ca="1" si="6"/>
        <v>19</v>
      </c>
      <c r="J18" s="173"/>
      <c r="K18" s="191"/>
      <c r="L18" s="155">
        <f t="shared" ca="1" si="7"/>
        <v>2</v>
      </c>
      <c r="M18" s="175" t="str">
        <f t="shared" ca="1" si="8"/>
        <v/>
      </c>
      <c r="N18" s="176" t="str">
        <f t="shared" ca="1" si="9"/>
        <v/>
      </c>
      <c r="O18" s="173">
        <f t="shared" ca="1" si="10"/>
        <v>8</v>
      </c>
      <c r="P18" s="176" t="str">
        <f t="shared" ca="1" si="11"/>
        <v/>
      </c>
      <c r="Q18" s="310" t="str">
        <f t="shared" ca="1" si="12"/>
        <v/>
      </c>
      <c r="R18" s="176" t="str">
        <f t="shared" ca="1" si="13"/>
        <v/>
      </c>
      <c r="S18" s="177" t="str">
        <f t="shared" ca="1" si="14"/>
        <v/>
      </c>
      <c r="T18" s="176">
        <f t="shared" ca="1" si="15"/>
        <v>2</v>
      </c>
      <c r="U18" s="174" t="str">
        <f t="shared" ca="1" si="16"/>
        <v/>
      </c>
      <c r="V18" s="194" t="str">
        <f t="shared" ca="1" si="17"/>
        <v/>
      </c>
      <c r="W18" s="193" t="str">
        <f t="shared" ca="1" si="18"/>
        <v/>
      </c>
      <c r="X18" s="180" t="str">
        <f t="shared" ca="1" si="19"/>
        <v/>
      </c>
      <c r="Y18" s="173" t="str">
        <f t="shared" ca="1" si="20"/>
        <v/>
      </c>
      <c r="Z18" s="177" t="str">
        <f t="shared" ca="1" si="21"/>
        <v/>
      </c>
      <c r="AA18" s="173">
        <f t="shared" ca="1" si="22"/>
        <v>11</v>
      </c>
      <c r="AB18" s="174" t="str">
        <f t="shared" ca="1" si="23"/>
        <v/>
      </c>
      <c r="AC18" s="162" t="str">
        <f t="shared" ca="1" si="24"/>
        <v/>
      </c>
      <c r="AD18" s="181"/>
      <c r="AE18" s="174"/>
      <c r="AF18" s="181"/>
      <c r="AG18" s="173"/>
      <c r="AH18" s="174"/>
      <c r="AI18" s="182" t="str">
        <f t="shared" ca="1" si="25"/>
        <v/>
      </c>
      <c r="AJ18" s="183">
        <f t="shared" ca="1" si="30"/>
        <v>380</v>
      </c>
      <c r="AK18" s="179"/>
      <c r="AL18" s="184"/>
      <c r="AM18" s="185">
        <f t="shared" ca="1" si="26"/>
        <v>380</v>
      </c>
      <c r="AN18" s="186">
        <f t="shared" ca="1" si="31"/>
        <v>15</v>
      </c>
      <c r="AO18" s="179"/>
      <c r="AP18" s="187">
        <v>2</v>
      </c>
      <c r="AQ18" s="185">
        <f t="shared" ca="1" si="27"/>
        <v>13</v>
      </c>
      <c r="AR18" s="188">
        <v>30</v>
      </c>
      <c r="AS18" s="162" t="str">
        <f t="shared" ca="1" si="28"/>
        <v/>
      </c>
    </row>
    <row r="19" spans="1:45" ht="15.75" thickBot="1">
      <c r="A19" s="171">
        <f t="shared" si="29"/>
        <v>45453</v>
      </c>
      <c r="B19" s="172">
        <f t="shared" ca="1" si="0"/>
        <v>21</v>
      </c>
      <c r="C19" s="190">
        <f ca="1">AppsAll(A19&lt;TODAY(),АП!$AK$15)</f>
        <v>11</v>
      </c>
      <c r="D19" s="190">
        <f t="shared" ca="1" si="1"/>
        <v>7</v>
      </c>
      <c r="E19" s="190">
        <f t="shared" ca="1" si="2"/>
        <v>3</v>
      </c>
      <c r="F19" s="173">
        <f t="shared" ca="1" si="3"/>
        <v>5</v>
      </c>
      <c r="G19" s="173" t="str">
        <f t="shared" ca="1" si="4"/>
        <v/>
      </c>
      <c r="H19" s="173" t="str">
        <f t="shared" ca="1" si="5"/>
        <v/>
      </c>
      <c r="I19" s="173" t="str">
        <f t="shared" ca="1" si="6"/>
        <v/>
      </c>
      <c r="J19" s="173"/>
      <c r="K19" s="191"/>
      <c r="L19" s="155">
        <f t="shared" ca="1" si="7"/>
        <v>6</v>
      </c>
      <c r="M19" s="175">
        <f t="shared" ca="1" si="8"/>
        <v>5</v>
      </c>
      <c r="N19" s="176">
        <f t="shared" ca="1" si="9"/>
        <v>5</v>
      </c>
      <c r="O19" s="173">
        <f t="shared" ca="1" si="10"/>
        <v>8</v>
      </c>
      <c r="P19" s="176">
        <f t="shared" ca="1" si="11"/>
        <v>3</v>
      </c>
      <c r="Q19" s="310" t="str">
        <f t="shared" ca="1" si="12"/>
        <v/>
      </c>
      <c r="R19" s="176" t="str">
        <f t="shared" ca="1" si="13"/>
        <v/>
      </c>
      <c r="S19" s="177" t="str">
        <f t="shared" ca="1" si="14"/>
        <v/>
      </c>
      <c r="T19" s="176">
        <f t="shared" ca="1" si="15"/>
        <v>1</v>
      </c>
      <c r="U19" s="174" t="str">
        <f t="shared" ca="1" si="16"/>
        <v/>
      </c>
      <c r="V19" s="194">
        <f t="shared" ca="1" si="17"/>
        <v>29</v>
      </c>
      <c r="W19" s="193">
        <f t="shared" ca="1" si="18"/>
        <v>29</v>
      </c>
      <c r="X19" s="180">
        <f t="shared" ca="1" si="19"/>
        <v>49</v>
      </c>
      <c r="Y19" s="173">
        <f t="shared" ca="1" si="20"/>
        <v>49</v>
      </c>
      <c r="Z19" s="177" t="str">
        <f t="shared" ca="1" si="21"/>
        <v/>
      </c>
      <c r="AA19" s="173">
        <f t="shared" ca="1" si="22"/>
        <v>9</v>
      </c>
      <c r="AB19" s="174">
        <f t="shared" ca="1" si="23"/>
        <v>2</v>
      </c>
      <c r="AC19" s="162" t="str">
        <f t="shared" ca="1" si="24"/>
        <v/>
      </c>
      <c r="AD19" s="181"/>
      <c r="AE19" s="174"/>
      <c r="AF19" s="181"/>
      <c r="AG19" s="173"/>
      <c r="AH19" s="174"/>
      <c r="AI19" s="182" t="str">
        <f t="shared" ca="1" si="25"/>
        <v/>
      </c>
      <c r="AJ19" s="183">
        <f t="shared" ca="1" si="30"/>
        <v>380</v>
      </c>
      <c r="AK19" s="179"/>
      <c r="AL19" s="184"/>
      <c r="AM19" s="185">
        <f t="shared" ca="1" si="26"/>
        <v>380</v>
      </c>
      <c r="AN19" s="186">
        <f t="shared" ca="1" si="31"/>
        <v>13</v>
      </c>
      <c r="AO19" s="179"/>
      <c r="AP19" s="187"/>
      <c r="AQ19" s="185">
        <f t="shared" ca="1" si="27"/>
        <v>13</v>
      </c>
      <c r="AR19" s="188">
        <v>30</v>
      </c>
      <c r="AS19" s="162" t="str">
        <f t="shared" ca="1" si="28"/>
        <v/>
      </c>
    </row>
    <row r="20" spans="1:45" ht="15.75" thickBot="1">
      <c r="A20" s="171">
        <f t="shared" si="29"/>
        <v>45454</v>
      </c>
      <c r="B20" s="172">
        <f t="shared" ca="1" si="0"/>
        <v>21</v>
      </c>
      <c r="C20" s="190">
        <f ca="1">AppsAll(A20&lt;TODAY(),АП!$AK$15)</f>
        <v>11</v>
      </c>
      <c r="D20" s="190">
        <f t="shared" ca="1" si="1"/>
        <v>6</v>
      </c>
      <c r="E20" s="190">
        <f t="shared" ca="1" si="2"/>
        <v>3</v>
      </c>
      <c r="F20" s="173">
        <f t="shared" ca="1" si="3"/>
        <v>5</v>
      </c>
      <c r="G20" s="173" t="str">
        <f t="shared" ca="1" si="4"/>
        <v/>
      </c>
      <c r="H20" s="173" t="str">
        <f t="shared" ca="1" si="5"/>
        <v/>
      </c>
      <c r="I20" s="173" t="str">
        <f t="shared" ca="1" si="6"/>
        <v/>
      </c>
      <c r="J20" s="173"/>
      <c r="K20" s="191"/>
      <c r="L20" s="155">
        <f t="shared" ca="1" si="7"/>
        <v>7</v>
      </c>
      <c r="M20" s="175">
        <f t="shared" ca="1" si="8"/>
        <v>5</v>
      </c>
      <c r="N20" s="176">
        <f t="shared" ca="1" si="9"/>
        <v>5</v>
      </c>
      <c r="O20" s="173">
        <f t="shared" ca="1" si="10"/>
        <v>8</v>
      </c>
      <c r="P20" s="176">
        <f t="shared" ca="1" si="11"/>
        <v>3</v>
      </c>
      <c r="Q20" s="310" t="str">
        <f t="shared" ca="1" si="12"/>
        <v/>
      </c>
      <c r="R20" s="176" t="str">
        <f t="shared" ca="1" si="13"/>
        <v/>
      </c>
      <c r="S20" s="177" t="str">
        <f t="shared" ca="1" si="14"/>
        <v/>
      </c>
      <c r="T20" s="176">
        <f t="shared" ca="1" si="15"/>
        <v>2</v>
      </c>
      <c r="U20" s="174" t="str">
        <f t="shared" ca="1" si="16"/>
        <v/>
      </c>
      <c r="V20" s="194">
        <f t="shared" ca="1" si="17"/>
        <v>35.900000000000006</v>
      </c>
      <c r="W20" s="193">
        <f t="shared" ca="1" si="18"/>
        <v>35.900000000000006</v>
      </c>
      <c r="X20" s="180">
        <f t="shared" ca="1" si="19"/>
        <v>35</v>
      </c>
      <c r="Y20" s="173">
        <f t="shared" ca="1" si="20"/>
        <v>35</v>
      </c>
      <c r="Z20" s="177" t="str">
        <f t="shared" ca="1" si="21"/>
        <v/>
      </c>
      <c r="AA20" s="173">
        <f t="shared" ca="1" si="22"/>
        <v>13</v>
      </c>
      <c r="AB20" s="174">
        <f t="shared" ca="1" si="23"/>
        <v>2</v>
      </c>
      <c r="AC20" s="162" t="str">
        <f t="shared" ca="1" si="24"/>
        <v/>
      </c>
      <c r="AD20" s="181"/>
      <c r="AE20" s="174"/>
      <c r="AF20" s="181"/>
      <c r="AG20" s="173"/>
      <c r="AH20" s="174"/>
      <c r="AI20" s="182" t="str">
        <f t="shared" ca="1" si="25"/>
        <v/>
      </c>
      <c r="AJ20" s="183">
        <f t="shared" ca="1" si="30"/>
        <v>380</v>
      </c>
      <c r="AK20" s="179"/>
      <c r="AL20" s="184"/>
      <c r="AM20" s="185">
        <f t="shared" ca="1" si="26"/>
        <v>380</v>
      </c>
      <c r="AN20" s="186">
        <f t="shared" ca="1" si="31"/>
        <v>13</v>
      </c>
      <c r="AO20" s="179"/>
      <c r="AP20" s="187">
        <v>3</v>
      </c>
      <c r="AQ20" s="185">
        <f t="shared" ca="1" si="27"/>
        <v>10</v>
      </c>
      <c r="AR20" s="188">
        <v>35</v>
      </c>
      <c r="AS20" s="162" t="str">
        <f t="shared" ca="1" si="28"/>
        <v/>
      </c>
    </row>
    <row r="21" spans="1:45" ht="15.75" thickBot="1">
      <c r="A21" s="171">
        <f t="shared" si="29"/>
        <v>45455</v>
      </c>
      <c r="B21" s="172">
        <f t="shared" ca="1" si="0"/>
        <v>21</v>
      </c>
      <c r="C21" s="190">
        <f ca="1">AppsAll(A21&lt;TODAY(),АП!$AK$15)</f>
        <v>11</v>
      </c>
      <c r="D21" s="190">
        <f t="shared" ca="1" si="1"/>
        <v>7</v>
      </c>
      <c r="E21" s="190">
        <f t="shared" ca="1" si="2"/>
        <v>3</v>
      </c>
      <c r="F21" s="173">
        <f t="shared" ca="1" si="3"/>
        <v>5</v>
      </c>
      <c r="G21" s="173" t="str">
        <f t="shared" ca="1" si="4"/>
        <v/>
      </c>
      <c r="H21" s="173" t="str">
        <f t="shared" ca="1" si="5"/>
        <v/>
      </c>
      <c r="I21" s="173" t="str">
        <f t="shared" ca="1" si="6"/>
        <v/>
      </c>
      <c r="J21" s="173"/>
      <c r="K21" s="191"/>
      <c r="L21" s="155">
        <f t="shared" ca="1" si="7"/>
        <v>6</v>
      </c>
      <c r="M21" s="175">
        <f t="shared" ca="1" si="8"/>
        <v>4</v>
      </c>
      <c r="N21" s="176">
        <f t="shared" ca="1" si="9"/>
        <v>4</v>
      </c>
      <c r="O21" s="173">
        <f t="shared" ca="1" si="10"/>
        <v>8</v>
      </c>
      <c r="P21" s="176">
        <f t="shared" ca="1" si="11"/>
        <v>3</v>
      </c>
      <c r="Q21" s="310" t="str">
        <f t="shared" ca="1" si="12"/>
        <v/>
      </c>
      <c r="R21" s="176" t="str">
        <f t="shared" ca="1" si="13"/>
        <v/>
      </c>
      <c r="S21" s="177">
        <v>1</v>
      </c>
      <c r="T21" s="176">
        <v>1</v>
      </c>
      <c r="U21" s="174">
        <f t="shared" ca="1" si="16"/>
        <v>1</v>
      </c>
      <c r="V21" s="194">
        <f t="shared" ca="1" si="17"/>
        <v>22.599999999999998</v>
      </c>
      <c r="W21" s="193">
        <f t="shared" ca="1" si="18"/>
        <v>22.599999999999998</v>
      </c>
      <c r="X21" s="180">
        <f t="shared" ca="1" si="19"/>
        <v>15</v>
      </c>
      <c r="Y21" s="173">
        <f t="shared" ca="1" si="20"/>
        <v>15</v>
      </c>
      <c r="Z21" s="177">
        <f t="shared" ca="1" si="21"/>
        <v>120</v>
      </c>
      <c r="AA21" s="173">
        <f t="shared" ca="1" si="22"/>
        <v>120</v>
      </c>
      <c r="AB21" s="174">
        <f t="shared" ca="1" si="23"/>
        <v>5</v>
      </c>
      <c r="AC21" s="162" t="str">
        <f t="shared" ca="1" si="24"/>
        <v/>
      </c>
      <c r="AD21" s="181"/>
      <c r="AE21" s="174"/>
      <c r="AF21" s="181"/>
      <c r="AG21" s="173"/>
      <c r="AH21" s="174"/>
      <c r="AI21" s="182" t="str">
        <f t="shared" ca="1" si="25"/>
        <v/>
      </c>
      <c r="AJ21" s="183">
        <f t="shared" ca="1" si="30"/>
        <v>380</v>
      </c>
      <c r="AK21" s="179"/>
      <c r="AL21" s="184"/>
      <c r="AM21" s="185">
        <f t="shared" ca="1" si="26"/>
        <v>380</v>
      </c>
      <c r="AN21" s="186">
        <f t="shared" ca="1" si="31"/>
        <v>10</v>
      </c>
      <c r="AO21" s="179"/>
      <c r="AP21" s="187">
        <v>1</v>
      </c>
      <c r="AQ21" s="185">
        <f t="shared" ca="1" si="27"/>
        <v>9</v>
      </c>
      <c r="AR21" s="188">
        <v>32</v>
      </c>
      <c r="AS21" s="162" t="str">
        <f t="shared" ca="1" si="28"/>
        <v/>
      </c>
    </row>
    <row r="22" spans="1:45" ht="15.75" thickBot="1">
      <c r="A22" s="171">
        <f t="shared" si="29"/>
        <v>45456</v>
      </c>
      <c r="B22" s="172">
        <f t="shared" ca="1" si="0"/>
        <v>21</v>
      </c>
      <c r="C22" s="190">
        <f ca="1">AppsAll(A22&lt;TODAY(),АП!$AK$15)</f>
        <v>11</v>
      </c>
      <c r="D22" s="190">
        <f t="shared" ca="1" si="1"/>
        <v>8</v>
      </c>
      <c r="E22" s="190">
        <f t="shared" ca="1" si="2"/>
        <v>3</v>
      </c>
      <c r="F22" s="173">
        <f t="shared" ca="1" si="3"/>
        <v>5</v>
      </c>
      <c r="G22" s="173" t="str">
        <f t="shared" ca="1" si="4"/>
        <v/>
      </c>
      <c r="H22" s="173" t="str">
        <f t="shared" ca="1" si="5"/>
        <v/>
      </c>
      <c r="I22" s="173" t="str">
        <f t="shared" ca="1" si="6"/>
        <v/>
      </c>
      <c r="J22" s="173"/>
      <c r="K22" s="191"/>
      <c r="L22" s="155">
        <f t="shared" ca="1" si="7"/>
        <v>5</v>
      </c>
      <c r="M22" s="175">
        <f t="shared" ca="1" si="8"/>
        <v>3</v>
      </c>
      <c r="N22" s="176">
        <f t="shared" ca="1" si="9"/>
        <v>3</v>
      </c>
      <c r="O22" s="173">
        <f t="shared" ca="1" si="10"/>
        <v>8</v>
      </c>
      <c r="P22" s="176">
        <f t="shared" ca="1" si="11"/>
        <v>2</v>
      </c>
      <c r="Q22" s="310" t="str">
        <f t="shared" ca="1" si="12"/>
        <v/>
      </c>
      <c r="R22" s="176" t="str">
        <f t="shared" ca="1" si="13"/>
        <v/>
      </c>
      <c r="S22" s="177">
        <f t="shared" ca="1" si="14"/>
        <v>1</v>
      </c>
      <c r="T22" s="176">
        <f t="shared" ca="1" si="15"/>
        <v>1</v>
      </c>
      <c r="U22" s="174">
        <f t="shared" ca="1" si="16"/>
        <v>1</v>
      </c>
      <c r="V22" s="194">
        <f t="shared" ca="1" si="17"/>
        <v>16.899999999999999</v>
      </c>
      <c r="W22" s="193">
        <f t="shared" ca="1" si="18"/>
        <v>16.899999999999999</v>
      </c>
      <c r="X22" s="180">
        <f t="shared" ca="1" si="19"/>
        <v>23</v>
      </c>
      <c r="Y22" s="173">
        <f t="shared" ca="1" si="20"/>
        <v>23</v>
      </c>
      <c r="Z22" s="177">
        <f t="shared" ca="1" si="21"/>
        <v>120</v>
      </c>
      <c r="AA22" s="173">
        <f t="shared" ca="1" si="22"/>
        <v>120</v>
      </c>
      <c r="AB22" s="174">
        <f t="shared" ca="1" si="23"/>
        <v>3</v>
      </c>
      <c r="AC22" s="162" t="str">
        <f t="shared" ca="1" si="24"/>
        <v/>
      </c>
      <c r="AD22" s="181"/>
      <c r="AE22" s="174"/>
      <c r="AF22" s="181"/>
      <c r="AG22" s="173"/>
      <c r="AH22" s="174"/>
      <c r="AI22" s="182" t="str">
        <f t="shared" ca="1" si="25"/>
        <v/>
      </c>
      <c r="AJ22" s="183">
        <f t="shared" ca="1" si="30"/>
        <v>380</v>
      </c>
      <c r="AK22" s="179"/>
      <c r="AL22" s="184"/>
      <c r="AM22" s="185">
        <f t="shared" ca="1" si="26"/>
        <v>380</v>
      </c>
      <c r="AN22" s="186">
        <f t="shared" ca="1" si="31"/>
        <v>9</v>
      </c>
      <c r="AO22" s="179"/>
      <c r="AP22" s="187">
        <v>1</v>
      </c>
      <c r="AQ22" s="185">
        <f t="shared" ca="1" si="27"/>
        <v>8</v>
      </c>
      <c r="AR22" s="188">
        <v>28</v>
      </c>
      <c r="AS22" s="162" t="str">
        <f t="shared" ca="1" si="28"/>
        <v/>
      </c>
    </row>
    <row r="23" spans="1:45" ht="15.75" thickBot="1">
      <c r="A23" s="171">
        <f t="shared" si="29"/>
        <v>45457</v>
      </c>
      <c r="B23" s="172">
        <f t="shared" ca="1" si="0"/>
        <v>21</v>
      </c>
      <c r="C23" s="190">
        <f ca="1">AppsAll(A23&lt;TODAY(),АП!$AK$15)</f>
        <v>11</v>
      </c>
      <c r="D23" s="190">
        <f t="shared" ca="1" si="1"/>
        <v>6</v>
      </c>
      <c r="E23" s="190">
        <f t="shared" ca="1" si="2"/>
        <v>3</v>
      </c>
      <c r="F23" s="173">
        <f t="shared" ca="1" si="3"/>
        <v>5</v>
      </c>
      <c r="G23" s="173" t="str">
        <f t="shared" ca="1" si="4"/>
        <v/>
      </c>
      <c r="H23" s="173">
        <f t="shared" ca="1" si="5"/>
        <v>1</v>
      </c>
      <c r="I23" s="173" t="str">
        <f t="shared" ca="1" si="6"/>
        <v/>
      </c>
      <c r="J23" s="173"/>
      <c r="K23" s="191"/>
      <c r="L23" s="155">
        <f t="shared" ca="1" si="7"/>
        <v>6</v>
      </c>
      <c r="M23" s="175">
        <f t="shared" ca="1" si="8"/>
        <v>3</v>
      </c>
      <c r="N23" s="176">
        <f t="shared" ca="1" si="9"/>
        <v>3</v>
      </c>
      <c r="O23" s="173">
        <f t="shared" ca="1" si="10"/>
        <v>8</v>
      </c>
      <c r="P23" s="176">
        <f t="shared" ca="1" si="11"/>
        <v>2</v>
      </c>
      <c r="Q23" s="310">
        <f t="shared" ca="1" si="12"/>
        <v>1</v>
      </c>
      <c r="R23" s="176">
        <f t="shared" ca="1" si="13"/>
        <v>1</v>
      </c>
      <c r="S23" s="177">
        <f t="shared" ca="1" si="14"/>
        <v>1</v>
      </c>
      <c r="T23" s="176">
        <f t="shared" ca="1" si="15"/>
        <v>2</v>
      </c>
      <c r="U23" s="174" t="str">
        <f t="shared" ca="1" si="16"/>
        <v/>
      </c>
      <c r="V23" s="194">
        <f t="shared" ca="1" si="17"/>
        <v>14.2</v>
      </c>
      <c r="W23" s="193">
        <f t="shared" ca="1" si="18"/>
        <v>14.2</v>
      </c>
      <c r="X23" s="180">
        <f t="shared" ca="1" si="19"/>
        <v>52</v>
      </c>
      <c r="Y23" s="173">
        <f t="shared" ca="1" si="20"/>
        <v>52</v>
      </c>
      <c r="Z23" s="177">
        <f t="shared" ca="1" si="21"/>
        <v>120</v>
      </c>
      <c r="AA23" s="173">
        <f t="shared" ca="1" si="22"/>
        <v>126</v>
      </c>
      <c r="AB23" s="174">
        <f t="shared" ca="1" si="23"/>
        <v>5</v>
      </c>
      <c r="AC23" s="162" t="str">
        <f t="shared" ca="1" si="24"/>
        <v/>
      </c>
      <c r="AD23" s="181"/>
      <c r="AE23" s="174"/>
      <c r="AF23" s="181"/>
      <c r="AG23" s="173"/>
      <c r="AH23" s="174"/>
      <c r="AI23" s="182" t="str">
        <f t="shared" ca="1" si="25"/>
        <v/>
      </c>
      <c r="AJ23" s="183">
        <f t="shared" ca="1" si="30"/>
        <v>380</v>
      </c>
      <c r="AK23" s="179"/>
      <c r="AL23" s="184"/>
      <c r="AM23" s="185">
        <f t="shared" ca="1" si="26"/>
        <v>380</v>
      </c>
      <c r="AN23" s="186">
        <f t="shared" ca="1" si="31"/>
        <v>8</v>
      </c>
      <c r="AO23" s="179"/>
      <c r="AP23" s="187">
        <v>2</v>
      </c>
      <c r="AQ23" s="185">
        <f t="shared" ca="1" si="27"/>
        <v>6</v>
      </c>
      <c r="AR23" s="188">
        <v>27</v>
      </c>
      <c r="AS23" s="162" t="str">
        <f t="shared" ca="1" si="28"/>
        <v/>
      </c>
    </row>
    <row r="24" spans="1:45" ht="15.75" thickBot="1">
      <c r="A24" s="171">
        <f t="shared" si="29"/>
        <v>45458</v>
      </c>
      <c r="B24" s="172">
        <f t="shared" ca="1" si="0"/>
        <v>21</v>
      </c>
      <c r="C24" s="190">
        <f ca="1">AppsAll(A24&lt;TODAY(),АП!$AK$15)</f>
        <v>11</v>
      </c>
      <c r="D24" s="190" t="str">
        <f t="shared" ca="1" si="1"/>
        <v/>
      </c>
      <c r="E24" s="190" t="str">
        <f t="shared" ca="1" si="2"/>
        <v/>
      </c>
      <c r="F24" s="173" t="str">
        <f t="shared" ca="1" si="3"/>
        <v/>
      </c>
      <c r="G24" s="173" t="str">
        <f t="shared" ca="1" si="4"/>
        <v/>
      </c>
      <c r="H24" s="173" t="str">
        <f t="shared" ca="1" si="5"/>
        <v/>
      </c>
      <c r="I24" s="173">
        <f t="shared" ca="1" si="6"/>
        <v>19</v>
      </c>
      <c r="J24" s="173"/>
      <c r="K24" s="191"/>
      <c r="L24" s="155">
        <f t="shared" ca="1" si="7"/>
        <v>2</v>
      </c>
      <c r="M24" s="175" t="str">
        <f t="shared" ca="1" si="8"/>
        <v/>
      </c>
      <c r="N24" s="176" t="str">
        <f t="shared" ca="1" si="9"/>
        <v/>
      </c>
      <c r="O24" s="173">
        <f t="shared" ca="1" si="10"/>
        <v>8</v>
      </c>
      <c r="P24" s="176" t="str">
        <f t="shared" ca="1" si="11"/>
        <v/>
      </c>
      <c r="Q24" s="310" t="str">
        <f t="shared" ca="1" si="12"/>
        <v/>
      </c>
      <c r="R24" s="176" t="str">
        <f t="shared" ca="1" si="13"/>
        <v/>
      </c>
      <c r="S24" s="177">
        <f t="shared" ca="1" si="14"/>
        <v>2</v>
      </c>
      <c r="T24" s="176">
        <f t="shared" ca="1" si="15"/>
        <v>2</v>
      </c>
      <c r="U24" s="174" t="str">
        <f t="shared" ca="1" si="16"/>
        <v/>
      </c>
      <c r="V24" s="194" t="str">
        <f t="shared" ca="1" si="17"/>
        <v/>
      </c>
      <c r="W24" s="193" t="str">
        <f t="shared" ca="1" si="18"/>
        <v/>
      </c>
      <c r="X24" s="180" t="str">
        <f t="shared" ca="1" si="19"/>
        <v/>
      </c>
      <c r="Y24" s="173" t="str">
        <f t="shared" ca="1" si="20"/>
        <v/>
      </c>
      <c r="Z24" s="177">
        <f t="shared" ca="1" si="21"/>
        <v>229</v>
      </c>
      <c r="AA24" s="173">
        <f t="shared" ca="1" si="22"/>
        <v>229</v>
      </c>
      <c r="AB24" s="174" t="str">
        <f t="shared" ca="1" si="23"/>
        <v/>
      </c>
      <c r="AC24" s="162" t="str">
        <f t="shared" ca="1" si="24"/>
        <v/>
      </c>
      <c r="AD24" s="181"/>
      <c r="AE24" s="174"/>
      <c r="AF24" s="181"/>
      <c r="AG24" s="173"/>
      <c r="AH24" s="174"/>
      <c r="AI24" s="182" t="str">
        <f t="shared" ca="1" si="25"/>
        <v/>
      </c>
      <c r="AJ24" s="183">
        <f t="shared" ca="1" si="30"/>
        <v>380</v>
      </c>
      <c r="AK24" s="179"/>
      <c r="AL24" s="184"/>
      <c r="AM24" s="185">
        <f t="shared" ca="1" si="26"/>
        <v>380</v>
      </c>
      <c r="AN24" s="186">
        <f t="shared" ca="1" si="31"/>
        <v>6</v>
      </c>
      <c r="AO24" s="179"/>
      <c r="AP24" s="187">
        <v>1</v>
      </c>
      <c r="AQ24" s="185">
        <f t="shared" ca="1" si="27"/>
        <v>5</v>
      </c>
      <c r="AR24" s="188">
        <v>23</v>
      </c>
      <c r="AS24" s="162" t="str">
        <f t="shared" ca="1" si="28"/>
        <v/>
      </c>
    </row>
    <row r="25" spans="1:45" ht="15.75" thickBot="1">
      <c r="A25" s="171">
        <f t="shared" si="29"/>
        <v>45459</v>
      </c>
      <c r="B25" s="172">
        <f t="shared" ca="1" si="0"/>
        <v>21</v>
      </c>
      <c r="C25" s="190">
        <f ca="1">AppsAll(A25&lt;TODAY(),АП!$AK$15)</f>
        <v>11</v>
      </c>
      <c r="D25" s="190" t="str">
        <f t="shared" ca="1" si="1"/>
        <v/>
      </c>
      <c r="E25" s="190" t="str">
        <f t="shared" ca="1" si="2"/>
        <v/>
      </c>
      <c r="F25" s="173" t="str">
        <f t="shared" ca="1" si="3"/>
        <v/>
      </c>
      <c r="G25" s="173" t="str">
        <f t="shared" ca="1" si="4"/>
        <v/>
      </c>
      <c r="H25" s="173" t="str">
        <f t="shared" ca="1" si="5"/>
        <v/>
      </c>
      <c r="I25" s="173">
        <f t="shared" ca="1" si="6"/>
        <v>21</v>
      </c>
      <c r="J25" s="173"/>
      <c r="K25" s="191"/>
      <c r="L25" s="155" t="str">
        <f t="shared" ca="1" si="7"/>
        <v/>
      </c>
      <c r="M25" s="175" t="str">
        <f t="shared" ca="1" si="8"/>
        <v/>
      </c>
      <c r="N25" s="176" t="str">
        <f t="shared" ca="1" si="9"/>
        <v/>
      </c>
      <c r="O25" s="173">
        <f t="shared" ca="1" si="10"/>
        <v>8</v>
      </c>
      <c r="P25" s="176" t="str">
        <f t="shared" ca="1" si="11"/>
        <v/>
      </c>
      <c r="Q25" s="310" t="str">
        <f t="shared" ca="1" si="12"/>
        <v/>
      </c>
      <c r="R25" s="176" t="str">
        <f t="shared" ca="1" si="13"/>
        <v/>
      </c>
      <c r="S25" s="177" t="str">
        <f t="shared" ca="1" si="14"/>
        <v/>
      </c>
      <c r="T25" s="176" t="str">
        <f t="shared" ca="1" si="15"/>
        <v/>
      </c>
      <c r="U25" s="174" t="str">
        <f t="shared" ca="1" si="16"/>
        <v/>
      </c>
      <c r="V25" s="178" t="str">
        <f t="shared" ca="1" si="17"/>
        <v/>
      </c>
      <c r="W25" s="179" t="str">
        <f t="shared" ca="1" si="18"/>
        <v/>
      </c>
      <c r="X25" s="180" t="str">
        <f t="shared" ca="1" si="19"/>
        <v/>
      </c>
      <c r="Y25" s="173" t="str">
        <f t="shared" ca="1" si="20"/>
        <v/>
      </c>
      <c r="Z25" s="177" t="str">
        <f t="shared" ca="1" si="21"/>
        <v/>
      </c>
      <c r="AA25" s="173" t="str">
        <f t="shared" ca="1" si="22"/>
        <v/>
      </c>
      <c r="AB25" s="174" t="str">
        <f t="shared" ca="1" si="23"/>
        <v/>
      </c>
      <c r="AC25" s="162" t="str">
        <f t="shared" ca="1" si="24"/>
        <v/>
      </c>
      <c r="AD25" s="181"/>
      <c r="AE25" s="174"/>
      <c r="AF25" s="181"/>
      <c r="AG25" s="173"/>
      <c r="AH25" s="174"/>
      <c r="AI25" s="182" t="str">
        <f t="shared" ca="1" si="25"/>
        <v/>
      </c>
      <c r="AJ25" s="183">
        <f t="shared" ca="1" si="30"/>
        <v>380</v>
      </c>
      <c r="AK25" s="179"/>
      <c r="AL25" s="184"/>
      <c r="AM25" s="185">
        <f t="shared" ca="1" si="26"/>
        <v>380</v>
      </c>
      <c r="AN25" s="186">
        <f t="shared" ca="1" si="31"/>
        <v>5</v>
      </c>
      <c r="AO25" s="179"/>
      <c r="AP25" s="187"/>
      <c r="AQ25" s="185">
        <f t="shared" ca="1" si="27"/>
        <v>5</v>
      </c>
      <c r="AR25" s="188"/>
      <c r="AS25" s="162" t="str">
        <f t="shared" ca="1" si="28"/>
        <v/>
      </c>
    </row>
    <row r="26" spans="1:45" ht="15.75" thickBot="1">
      <c r="A26" s="171">
        <f t="shared" si="29"/>
        <v>45460</v>
      </c>
      <c r="B26" s="172">
        <f t="shared" ca="1" si="0"/>
        <v>21</v>
      </c>
      <c r="C26" s="190">
        <f ca="1">AppsAll(A26&lt;TODAY(),АП!$AK$15)</f>
        <v>11</v>
      </c>
      <c r="D26" s="190">
        <f t="shared" ca="1" si="1"/>
        <v>6</v>
      </c>
      <c r="E26" s="190">
        <f t="shared" ca="1" si="2"/>
        <v>3</v>
      </c>
      <c r="F26" s="173">
        <f t="shared" ca="1" si="3"/>
        <v>5</v>
      </c>
      <c r="G26" s="173" t="str">
        <f t="shared" ca="1" si="4"/>
        <v/>
      </c>
      <c r="H26" s="173">
        <f t="shared" ca="1" si="5"/>
        <v>2</v>
      </c>
      <c r="I26" s="173" t="str">
        <f t="shared" ca="1" si="6"/>
        <v/>
      </c>
      <c r="J26" s="173"/>
      <c r="K26" s="174"/>
      <c r="L26" s="155">
        <f t="shared" ca="1" si="7"/>
        <v>5</v>
      </c>
      <c r="M26" s="175">
        <f t="shared" ca="1" si="8"/>
        <v>3</v>
      </c>
      <c r="N26" s="176">
        <f t="shared" ca="1" si="9"/>
        <v>3</v>
      </c>
      <c r="O26" s="173">
        <f t="shared" ca="1" si="10"/>
        <v>8</v>
      </c>
      <c r="P26" s="176">
        <f t="shared" ca="1" si="11"/>
        <v>2</v>
      </c>
      <c r="Q26" s="310">
        <f t="shared" ca="1" si="12"/>
        <v>1</v>
      </c>
      <c r="R26" s="176">
        <f t="shared" ca="1" si="13"/>
        <v>1</v>
      </c>
      <c r="S26" s="177">
        <f t="shared" ca="1" si="14"/>
        <v>1</v>
      </c>
      <c r="T26" s="176">
        <f t="shared" ca="1" si="15"/>
        <v>1</v>
      </c>
      <c r="U26" s="174" t="str">
        <f t="shared" ca="1" si="16"/>
        <v/>
      </c>
      <c r="V26" s="178">
        <f t="shared" ca="1" si="17"/>
        <v>19.8</v>
      </c>
      <c r="W26" s="179">
        <f t="shared" ca="1" si="18"/>
        <v>19.8</v>
      </c>
      <c r="X26" s="180">
        <f t="shared" ca="1" si="19"/>
        <v>26</v>
      </c>
      <c r="Y26" s="173">
        <f t="shared" ca="1" si="20"/>
        <v>26</v>
      </c>
      <c r="Z26" s="177">
        <f t="shared" ca="1" si="21"/>
        <v>120</v>
      </c>
      <c r="AA26" s="173">
        <f t="shared" ca="1" si="22"/>
        <v>120</v>
      </c>
      <c r="AB26" s="174">
        <f t="shared" ca="1" si="23"/>
        <v>19</v>
      </c>
      <c r="AC26" s="162" t="str">
        <f t="shared" ca="1" si="24"/>
        <v/>
      </c>
      <c r="AD26" s="181"/>
      <c r="AE26" s="174"/>
      <c r="AF26" s="181"/>
      <c r="AG26" s="173"/>
      <c r="AH26" s="174"/>
      <c r="AI26" s="182" t="str">
        <f t="shared" ca="1" si="25"/>
        <v/>
      </c>
      <c r="AJ26" s="183">
        <f t="shared" ca="1" si="30"/>
        <v>380</v>
      </c>
      <c r="AK26" s="179"/>
      <c r="AL26" s="184"/>
      <c r="AM26" s="185">
        <f t="shared" ca="1" si="26"/>
        <v>380</v>
      </c>
      <c r="AN26" s="186">
        <f t="shared" ca="1" si="31"/>
        <v>5</v>
      </c>
      <c r="AO26" s="179"/>
      <c r="AP26" s="187">
        <v>1</v>
      </c>
      <c r="AQ26" s="185">
        <f t="shared" ca="1" si="27"/>
        <v>4</v>
      </c>
      <c r="AR26" s="188">
        <v>30</v>
      </c>
      <c r="AS26" s="162" t="str">
        <f t="shared" ca="1" si="28"/>
        <v/>
      </c>
    </row>
    <row r="27" spans="1:45" ht="15.75" thickBot="1">
      <c r="A27" s="171">
        <f t="shared" si="29"/>
        <v>45461</v>
      </c>
      <c r="B27" s="172">
        <f t="shared" ca="1" si="0"/>
        <v>21</v>
      </c>
      <c r="C27" s="190">
        <f ca="1">AppsAll(A27&lt;TODAY(),АП!$AK$15)</f>
        <v>11</v>
      </c>
      <c r="D27" s="190">
        <f t="shared" ca="1" si="1"/>
        <v>8</v>
      </c>
      <c r="E27" s="190">
        <f t="shared" ca="1" si="2"/>
        <v>3</v>
      </c>
      <c r="F27" s="173">
        <f t="shared" ca="1" si="3"/>
        <v>5</v>
      </c>
      <c r="G27" s="173" t="str">
        <f t="shared" ca="1" si="4"/>
        <v/>
      </c>
      <c r="H27" s="173" t="str">
        <f t="shared" ca="1" si="5"/>
        <v/>
      </c>
      <c r="I27" s="173" t="str">
        <f t="shared" ca="1" si="6"/>
        <v/>
      </c>
      <c r="J27" s="173"/>
      <c r="K27" s="174"/>
      <c r="L27" s="155">
        <f t="shared" ca="1" si="7"/>
        <v>5</v>
      </c>
      <c r="M27" s="175">
        <f t="shared" ca="1" si="8"/>
        <v>5</v>
      </c>
      <c r="N27" s="176">
        <f t="shared" ca="1" si="9"/>
        <v>5</v>
      </c>
      <c r="O27" s="173">
        <f t="shared" ca="1" si="10"/>
        <v>8</v>
      </c>
      <c r="P27" s="176">
        <f t="shared" ca="1" si="11"/>
        <v>3</v>
      </c>
      <c r="Q27" s="310" t="str">
        <f t="shared" ca="1" si="12"/>
        <v/>
      </c>
      <c r="R27" s="176" t="str">
        <f t="shared" ca="1" si="13"/>
        <v/>
      </c>
      <c r="S27" s="177" t="str">
        <f t="shared" ca="1" si="14"/>
        <v/>
      </c>
      <c r="T27" s="176" t="str">
        <f t="shared" ca="1" si="15"/>
        <v/>
      </c>
      <c r="U27" s="174" t="str">
        <f t="shared" ca="1" si="16"/>
        <v/>
      </c>
      <c r="V27" s="178">
        <f t="shared" ca="1" si="17"/>
        <v>23.8</v>
      </c>
      <c r="W27" s="179">
        <f t="shared" ca="1" si="18"/>
        <v>23.8</v>
      </c>
      <c r="X27" s="180">
        <f t="shared" ca="1" si="19"/>
        <v>43</v>
      </c>
      <c r="Y27" s="173">
        <f t="shared" ca="1" si="20"/>
        <v>43</v>
      </c>
      <c r="Z27" s="177" t="str">
        <f t="shared" ca="1" si="21"/>
        <v/>
      </c>
      <c r="AA27" s="173" t="str">
        <f t="shared" ca="1" si="22"/>
        <v/>
      </c>
      <c r="AB27" s="174">
        <f t="shared" ca="1" si="23"/>
        <v>17</v>
      </c>
      <c r="AC27" s="162" t="str">
        <f t="shared" ca="1" si="24"/>
        <v/>
      </c>
      <c r="AD27" s="181"/>
      <c r="AE27" s="174"/>
      <c r="AF27" s="181"/>
      <c r="AG27" s="173"/>
      <c r="AH27" s="174"/>
      <c r="AI27" s="182" t="str">
        <f t="shared" ca="1" si="25"/>
        <v/>
      </c>
      <c r="AJ27" s="183">
        <f t="shared" ca="1" si="30"/>
        <v>380</v>
      </c>
      <c r="AK27" s="179"/>
      <c r="AL27" s="184"/>
      <c r="AM27" s="185">
        <f t="shared" ca="1" si="26"/>
        <v>380</v>
      </c>
      <c r="AN27" s="186">
        <f t="shared" ca="1" si="31"/>
        <v>4</v>
      </c>
      <c r="AO27" s="179"/>
      <c r="AP27" s="187"/>
      <c r="AQ27" s="185">
        <f t="shared" ca="1" si="27"/>
        <v>4</v>
      </c>
      <c r="AR27" s="188">
        <v>31</v>
      </c>
      <c r="AS27" s="162" t="str">
        <f t="shared" ca="1" si="28"/>
        <v/>
      </c>
    </row>
    <row r="28" spans="1:45" ht="15.75" thickBot="1">
      <c r="A28" s="171">
        <f t="shared" si="29"/>
        <v>45462</v>
      </c>
      <c r="B28" s="172">
        <f t="shared" ca="1" si="0"/>
        <v>21</v>
      </c>
      <c r="C28" s="190">
        <f ca="1">AppsAll(A28&lt;TODAY(),АП!$AK$15)</f>
        <v>11</v>
      </c>
      <c r="D28" s="190">
        <f t="shared" ca="1" si="1"/>
        <v>8</v>
      </c>
      <c r="E28" s="190">
        <f t="shared" ca="1" si="2"/>
        <v>3</v>
      </c>
      <c r="F28" s="173">
        <f t="shared" ca="1" si="3"/>
        <v>5</v>
      </c>
      <c r="G28" s="173" t="str">
        <f t="shared" ca="1" si="4"/>
        <v/>
      </c>
      <c r="H28" s="173" t="str">
        <f t="shared" ca="1" si="5"/>
        <v/>
      </c>
      <c r="I28" s="173" t="str">
        <f t="shared" ca="1" si="6"/>
        <v/>
      </c>
      <c r="J28" s="173"/>
      <c r="K28" s="174"/>
      <c r="L28" s="155">
        <f t="shared" ca="1" si="7"/>
        <v>5</v>
      </c>
      <c r="M28" s="175">
        <f t="shared" ca="1" si="8"/>
        <v>5</v>
      </c>
      <c r="N28" s="176">
        <f t="shared" ca="1" si="9"/>
        <v>5</v>
      </c>
      <c r="O28" s="173">
        <f t="shared" ca="1" si="10"/>
        <v>8</v>
      </c>
      <c r="P28" s="176">
        <f t="shared" ca="1" si="11"/>
        <v>3</v>
      </c>
      <c r="Q28" s="310" t="str">
        <f t="shared" ca="1" si="12"/>
        <v/>
      </c>
      <c r="R28" s="176" t="str">
        <f t="shared" ca="1" si="13"/>
        <v/>
      </c>
      <c r="S28" s="177" t="str">
        <f t="shared" ca="1" si="14"/>
        <v/>
      </c>
      <c r="T28" s="176" t="str">
        <f t="shared" ca="1" si="15"/>
        <v/>
      </c>
      <c r="U28" s="174" t="str">
        <f t="shared" ca="1" si="16"/>
        <v/>
      </c>
      <c r="V28" s="178">
        <f t="shared" ca="1" si="17"/>
        <v>38</v>
      </c>
      <c r="W28" s="179">
        <f t="shared" ca="1" si="18"/>
        <v>38</v>
      </c>
      <c r="X28" s="180">
        <f t="shared" ca="1" si="19"/>
        <v>15</v>
      </c>
      <c r="Y28" s="173">
        <f t="shared" ca="1" si="20"/>
        <v>15</v>
      </c>
      <c r="Z28" s="177" t="str">
        <f t="shared" ca="1" si="21"/>
        <v/>
      </c>
      <c r="AA28" s="173" t="str">
        <f t="shared" ca="1" si="22"/>
        <v/>
      </c>
      <c r="AB28" s="174">
        <f t="shared" ca="1" si="23"/>
        <v>13</v>
      </c>
      <c r="AC28" s="162" t="str">
        <f t="shared" ca="1" si="24"/>
        <v/>
      </c>
      <c r="AD28" s="181"/>
      <c r="AE28" s="174"/>
      <c r="AF28" s="181"/>
      <c r="AG28" s="173"/>
      <c r="AH28" s="174"/>
      <c r="AI28" s="182" t="str">
        <f t="shared" ca="1" si="25"/>
        <v/>
      </c>
      <c r="AJ28" s="183">
        <f t="shared" ca="1" si="30"/>
        <v>380</v>
      </c>
      <c r="AK28" s="179"/>
      <c r="AL28" s="184"/>
      <c r="AM28" s="185">
        <f t="shared" ca="1" si="26"/>
        <v>380</v>
      </c>
      <c r="AN28" s="186">
        <f t="shared" ca="1" si="31"/>
        <v>4</v>
      </c>
      <c r="AO28" s="179"/>
      <c r="AP28" s="187"/>
      <c r="AQ28" s="185">
        <f t="shared" ca="1" si="27"/>
        <v>4</v>
      </c>
      <c r="AR28" s="188">
        <v>31</v>
      </c>
      <c r="AS28" s="162" t="str">
        <f t="shared" ca="1" si="28"/>
        <v/>
      </c>
    </row>
    <row r="29" spans="1:45" ht="15.75" thickBot="1">
      <c r="A29" s="171">
        <f t="shared" si="29"/>
        <v>45463</v>
      </c>
      <c r="B29" s="172">
        <f t="shared" ca="1" si="0"/>
        <v>21</v>
      </c>
      <c r="C29" s="190">
        <f ca="1">AppsAll(A29&lt;TODAY(),АП!$AK$15)</f>
        <v>11</v>
      </c>
      <c r="D29" s="190">
        <f t="shared" ca="1" si="1"/>
        <v>8</v>
      </c>
      <c r="E29" s="190">
        <f t="shared" ca="1" si="2"/>
        <v>3</v>
      </c>
      <c r="F29" s="173">
        <f t="shared" ca="1" si="3"/>
        <v>5</v>
      </c>
      <c r="G29" s="173" t="str">
        <f t="shared" ca="1" si="4"/>
        <v/>
      </c>
      <c r="H29" s="173" t="str">
        <f t="shared" ca="1" si="5"/>
        <v/>
      </c>
      <c r="I29" s="173" t="str">
        <f t="shared" ca="1" si="6"/>
        <v/>
      </c>
      <c r="J29" s="173"/>
      <c r="K29" s="174"/>
      <c r="L29" s="155">
        <f t="shared" ca="1" si="7"/>
        <v>5</v>
      </c>
      <c r="M29" s="175">
        <f t="shared" ca="1" si="8"/>
        <v>5</v>
      </c>
      <c r="N29" s="176">
        <f t="shared" ca="1" si="9"/>
        <v>5</v>
      </c>
      <c r="O29" s="173">
        <f t="shared" ca="1" si="10"/>
        <v>8</v>
      </c>
      <c r="P29" s="176">
        <f t="shared" ca="1" si="11"/>
        <v>3</v>
      </c>
      <c r="Q29" s="310" t="str">
        <f t="shared" ca="1" si="12"/>
        <v/>
      </c>
      <c r="R29" s="176" t="str">
        <f t="shared" ca="1" si="13"/>
        <v/>
      </c>
      <c r="S29" s="177" t="str">
        <f t="shared" ca="1" si="14"/>
        <v/>
      </c>
      <c r="T29" s="176" t="str">
        <f t="shared" ca="1" si="15"/>
        <v/>
      </c>
      <c r="U29" s="174" t="str">
        <f t="shared" ca="1" si="16"/>
        <v/>
      </c>
      <c r="V29" s="178">
        <f t="shared" ca="1" si="17"/>
        <v>29.2</v>
      </c>
      <c r="W29" s="179">
        <f t="shared" ca="1" si="18"/>
        <v>29.2</v>
      </c>
      <c r="X29" s="180">
        <f t="shared" ca="1" si="19"/>
        <v>17</v>
      </c>
      <c r="Y29" s="173">
        <f t="shared" ca="1" si="20"/>
        <v>17</v>
      </c>
      <c r="Z29" s="177" t="str">
        <f t="shared" ca="1" si="21"/>
        <v/>
      </c>
      <c r="AA29" s="173" t="str">
        <f t="shared" ca="1" si="22"/>
        <v/>
      </c>
      <c r="AB29" s="174" t="str">
        <f t="shared" ca="1" si="23"/>
        <v/>
      </c>
      <c r="AC29" s="162" t="str">
        <f t="shared" ca="1" si="24"/>
        <v/>
      </c>
      <c r="AD29" s="181"/>
      <c r="AE29" s="174"/>
      <c r="AF29" s="181"/>
      <c r="AG29" s="173"/>
      <c r="AH29" s="174"/>
      <c r="AI29" s="182" t="str">
        <f t="shared" ca="1" si="25"/>
        <v/>
      </c>
      <c r="AJ29" s="183">
        <f t="shared" ca="1" si="30"/>
        <v>380</v>
      </c>
      <c r="AK29" s="179"/>
      <c r="AL29" s="184"/>
      <c r="AM29" s="185">
        <f t="shared" ca="1" si="26"/>
        <v>380</v>
      </c>
      <c r="AN29" s="186">
        <f t="shared" ca="1" si="31"/>
        <v>4</v>
      </c>
      <c r="AO29" s="179"/>
      <c r="AP29" s="187"/>
      <c r="AQ29" s="185">
        <f t="shared" ca="1" si="27"/>
        <v>4</v>
      </c>
      <c r="AR29" s="188">
        <v>30</v>
      </c>
      <c r="AS29" s="162" t="str">
        <f t="shared" ca="1" si="28"/>
        <v/>
      </c>
    </row>
    <row r="30" spans="1:45" ht="15.75" thickBot="1">
      <c r="A30" s="171">
        <f t="shared" si="29"/>
        <v>45464</v>
      </c>
      <c r="B30" s="172">
        <f t="shared" ca="1" si="0"/>
        <v>21</v>
      </c>
      <c r="C30" s="190">
        <f ca="1">AppsAll(A30&lt;TODAY(),АП!$AK$15)</f>
        <v>11</v>
      </c>
      <c r="D30" s="190">
        <f t="shared" ca="1" si="1"/>
        <v>8</v>
      </c>
      <c r="E30" s="190">
        <f t="shared" ca="1" si="2"/>
        <v>3</v>
      </c>
      <c r="F30" s="173">
        <f t="shared" ca="1" si="3"/>
        <v>5</v>
      </c>
      <c r="G30" s="173" t="str">
        <f t="shared" ca="1" si="4"/>
        <v/>
      </c>
      <c r="H30" s="173" t="str">
        <f t="shared" ca="1" si="5"/>
        <v/>
      </c>
      <c r="I30" s="173" t="str">
        <f t="shared" ca="1" si="6"/>
        <v/>
      </c>
      <c r="J30" s="173"/>
      <c r="K30" s="174"/>
      <c r="L30" s="155">
        <f t="shared" ca="1" si="7"/>
        <v>5</v>
      </c>
      <c r="M30" s="175">
        <f t="shared" ca="1" si="8"/>
        <v>4</v>
      </c>
      <c r="N30" s="176">
        <f t="shared" ca="1" si="9"/>
        <v>4</v>
      </c>
      <c r="O30" s="173">
        <f t="shared" ca="1" si="10"/>
        <v>8</v>
      </c>
      <c r="P30" s="176">
        <f t="shared" ca="1" si="11"/>
        <v>3</v>
      </c>
      <c r="Q30" s="310" t="str">
        <f t="shared" ca="1" si="12"/>
        <v/>
      </c>
      <c r="R30" s="176" t="str">
        <f t="shared" ca="1" si="13"/>
        <v/>
      </c>
      <c r="S30" s="177">
        <f t="shared" ca="1" si="14"/>
        <v>1</v>
      </c>
      <c r="T30" s="176">
        <f t="shared" ca="1" si="15"/>
        <v>1</v>
      </c>
      <c r="U30" s="174" t="str">
        <f t="shared" ca="1" si="16"/>
        <v/>
      </c>
      <c r="V30" s="178">
        <f t="shared" ca="1" si="17"/>
        <v>25.799999999999997</v>
      </c>
      <c r="W30" s="179">
        <f t="shared" ca="1" si="18"/>
        <v>25.799999999999997</v>
      </c>
      <c r="X30" s="180">
        <f t="shared" ca="1" si="19"/>
        <v>36</v>
      </c>
      <c r="Y30" s="173">
        <f t="shared" ca="1" si="20"/>
        <v>36</v>
      </c>
      <c r="Z30" s="177">
        <f t="shared" ca="1" si="21"/>
        <v>120</v>
      </c>
      <c r="AA30" s="173">
        <f t="shared" ca="1" si="22"/>
        <v>120</v>
      </c>
      <c r="AB30" s="174">
        <f t="shared" ca="1" si="23"/>
        <v>9</v>
      </c>
      <c r="AC30" s="162" t="str">
        <f t="shared" ca="1" si="24"/>
        <v/>
      </c>
      <c r="AD30" s="181"/>
      <c r="AE30" s="174"/>
      <c r="AF30" s="181"/>
      <c r="AG30" s="173"/>
      <c r="AH30" s="174"/>
      <c r="AI30" s="182" t="str">
        <f t="shared" ca="1" si="25"/>
        <v/>
      </c>
      <c r="AJ30" s="183">
        <f t="shared" ca="1" si="30"/>
        <v>380</v>
      </c>
      <c r="AK30" s="179"/>
      <c r="AL30" s="184"/>
      <c r="AM30" s="185">
        <f t="shared" ca="1" si="26"/>
        <v>380</v>
      </c>
      <c r="AN30" s="186">
        <f t="shared" ca="1" si="31"/>
        <v>4</v>
      </c>
      <c r="AO30" s="179"/>
      <c r="AP30" s="187">
        <v>1</v>
      </c>
      <c r="AQ30" s="185">
        <f t="shared" ca="1" si="27"/>
        <v>3</v>
      </c>
      <c r="AR30" s="188">
        <v>30</v>
      </c>
      <c r="AS30" s="162" t="str">
        <f t="shared" ca="1" si="28"/>
        <v/>
      </c>
    </row>
    <row r="31" spans="1:45" ht="15.75" thickBot="1">
      <c r="A31" s="171">
        <f t="shared" si="29"/>
        <v>45465</v>
      </c>
      <c r="B31" s="172">
        <f t="shared" ca="1" si="0"/>
        <v>21</v>
      </c>
      <c r="C31" s="190">
        <f ca="1">AppsAll(A31&lt;TODAY(),АП!$AK$15)</f>
        <v>11</v>
      </c>
      <c r="D31" s="190" t="str">
        <f t="shared" ca="1" si="1"/>
        <v/>
      </c>
      <c r="E31" s="190" t="str">
        <f t="shared" ca="1" si="2"/>
        <v/>
      </c>
      <c r="F31" s="173" t="str">
        <f t="shared" ca="1" si="3"/>
        <v/>
      </c>
      <c r="G31" s="173" t="str">
        <f t="shared" ca="1" si="4"/>
        <v/>
      </c>
      <c r="H31" s="173" t="str">
        <f t="shared" ca="1" si="5"/>
        <v/>
      </c>
      <c r="I31" s="173">
        <f t="shared" ca="1" si="6"/>
        <v>18</v>
      </c>
      <c r="J31" s="173"/>
      <c r="K31" s="174"/>
      <c r="L31" s="155">
        <f t="shared" ca="1" si="7"/>
        <v>3</v>
      </c>
      <c r="M31" s="175" t="str">
        <f t="shared" ca="1" si="8"/>
        <v/>
      </c>
      <c r="N31" s="176" t="str">
        <f t="shared" ca="1" si="9"/>
        <v/>
      </c>
      <c r="O31" s="173">
        <f t="shared" ca="1" si="10"/>
        <v>8</v>
      </c>
      <c r="P31" s="176" t="str">
        <f t="shared" ca="1" si="11"/>
        <v/>
      </c>
      <c r="Q31" s="310" t="str">
        <f t="shared" ca="1" si="12"/>
        <v/>
      </c>
      <c r="R31" s="176" t="str">
        <f t="shared" ca="1" si="13"/>
        <v/>
      </c>
      <c r="S31" s="177">
        <f t="shared" ca="1" si="14"/>
        <v>3</v>
      </c>
      <c r="T31" s="176">
        <f t="shared" ca="1" si="15"/>
        <v>3</v>
      </c>
      <c r="U31" s="174" t="str">
        <f t="shared" ca="1" si="16"/>
        <v/>
      </c>
      <c r="V31" s="178" t="str">
        <f t="shared" ca="1" si="17"/>
        <v/>
      </c>
      <c r="W31" s="179" t="str">
        <f t="shared" ca="1" si="18"/>
        <v/>
      </c>
      <c r="X31" s="180" t="str">
        <f t="shared" ca="1" si="19"/>
        <v/>
      </c>
      <c r="Y31" s="173" t="str">
        <f t="shared" ca="1" si="20"/>
        <v/>
      </c>
      <c r="Z31" s="177">
        <f t="shared" ca="1" si="21"/>
        <v>576</v>
      </c>
      <c r="AA31" s="173">
        <f t="shared" ca="1" si="22"/>
        <v>576</v>
      </c>
      <c r="AB31" s="174" t="str">
        <f t="shared" ca="1" si="23"/>
        <v/>
      </c>
      <c r="AC31" s="162" t="str">
        <f t="shared" ca="1" si="24"/>
        <v/>
      </c>
      <c r="AD31" s="181"/>
      <c r="AE31" s="174"/>
      <c r="AF31" s="181"/>
      <c r="AG31" s="173"/>
      <c r="AH31" s="174"/>
      <c r="AI31" s="182" t="str">
        <f t="shared" ca="1" si="25"/>
        <v/>
      </c>
      <c r="AJ31" s="183">
        <f t="shared" ca="1" si="30"/>
        <v>380</v>
      </c>
      <c r="AK31" s="179"/>
      <c r="AL31" s="184"/>
      <c r="AM31" s="185">
        <f t="shared" ca="1" si="26"/>
        <v>380</v>
      </c>
      <c r="AN31" s="186">
        <f t="shared" ca="1" si="31"/>
        <v>3</v>
      </c>
      <c r="AO31" s="179"/>
      <c r="AP31" s="187">
        <v>3</v>
      </c>
      <c r="AQ31" s="185" t="str">
        <f t="shared" ca="1" si="27"/>
        <v/>
      </c>
      <c r="AR31" s="188">
        <v>29</v>
      </c>
      <c r="AS31" s="162" t="str">
        <f t="shared" ca="1" si="28"/>
        <v/>
      </c>
    </row>
    <row r="32" spans="1:45" ht="15.75" thickBot="1">
      <c r="A32" s="171">
        <f t="shared" si="29"/>
        <v>45466</v>
      </c>
      <c r="B32" s="172">
        <f t="shared" ca="1" si="0"/>
        <v>21</v>
      </c>
      <c r="C32" s="190">
        <f ca="1">AppsAll(A32&lt;TODAY(),АП!$AK$15)</f>
        <v>11</v>
      </c>
      <c r="D32" s="190" t="str">
        <f t="shared" ca="1" si="1"/>
        <v/>
      </c>
      <c r="E32" s="190" t="str">
        <f t="shared" ca="1" si="2"/>
        <v/>
      </c>
      <c r="F32" s="173" t="str">
        <f t="shared" ca="1" si="3"/>
        <v/>
      </c>
      <c r="G32" s="173" t="str">
        <f t="shared" ca="1" si="4"/>
        <v/>
      </c>
      <c r="H32" s="173" t="str">
        <f t="shared" ca="1" si="5"/>
        <v/>
      </c>
      <c r="I32" s="173">
        <f t="shared" ca="1" si="6"/>
        <v>21</v>
      </c>
      <c r="J32" s="173"/>
      <c r="K32" s="174"/>
      <c r="L32" s="155" t="str">
        <f t="shared" ca="1" si="7"/>
        <v/>
      </c>
      <c r="M32" s="175" t="str">
        <f t="shared" ca="1" si="8"/>
        <v/>
      </c>
      <c r="N32" s="176" t="str">
        <f t="shared" ca="1" si="9"/>
        <v/>
      </c>
      <c r="O32" s="173">
        <f t="shared" ca="1" si="10"/>
        <v>8</v>
      </c>
      <c r="P32" s="176" t="str">
        <f t="shared" ca="1" si="11"/>
        <v/>
      </c>
      <c r="Q32" s="310" t="str">
        <f t="shared" ca="1" si="12"/>
        <v/>
      </c>
      <c r="R32" s="176" t="str">
        <f t="shared" ca="1" si="13"/>
        <v/>
      </c>
      <c r="S32" s="177" t="str">
        <f t="shared" ca="1" si="14"/>
        <v/>
      </c>
      <c r="T32" s="176" t="str">
        <f t="shared" ca="1" si="15"/>
        <v/>
      </c>
      <c r="U32" s="174" t="str">
        <f t="shared" ca="1" si="16"/>
        <v/>
      </c>
      <c r="V32" s="178" t="str">
        <f t="shared" ca="1" si="17"/>
        <v/>
      </c>
      <c r="W32" s="179" t="str">
        <f t="shared" ca="1" si="18"/>
        <v/>
      </c>
      <c r="X32" s="180" t="str">
        <f t="shared" ca="1" si="19"/>
        <v/>
      </c>
      <c r="Y32" s="173" t="str">
        <f t="shared" ca="1" si="20"/>
        <v/>
      </c>
      <c r="Z32" s="177" t="str">
        <f t="shared" ca="1" si="21"/>
        <v/>
      </c>
      <c r="AA32" s="173" t="str">
        <f t="shared" ca="1" si="22"/>
        <v/>
      </c>
      <c r="AB32" s="174" t="str">
        <f t="shared" ca="1" si="23"/>
        <v/>
      </c>
      <c r="AC32" s="162" t="str">
        <f t="shared" ca="1" si="24"/>
        <v/>
      </c>
      <c r="AD32" s="181"/>
      <c r="AE32" s="174"/>
      <c r="AF32" s="181"/>
      <c r="AG32" s="173"/>
      <c r="AH32" s="174"/>
      <c r="AI32" s="182" t="str">
        <f t="shared" ca="1" si="25"/>
        <v/>
      </c>
      <c r="AJ32" s="183">
        <f t="shared" ca="1" si="30"/>
        <v>380</v>
      </c>
      <c r="AK32" s="179"/>
      <c r="AL32" s="184"/>
      <c r="AM32" s="185">
        <f t="shared" ca="1" si="26"/>
        <v>380</v>
      </c>
      <c r="AN32" s="186" t="str">
        <f t="shared" ca="1" si="31"/>
        <v/>
      </c>
      <c r="AO32" s="179"/>
      <c r="AP32" s="187"/>
      <c r="AQ32" s="185" t="str">
        <f t="shared" ca="1" si="27"/>
        <v/>
      </c>
      <c r="AR32" s="188"/>
      <c r="AS32" s="162" t="str">
        <f t="shared" ca="1" si="28"/>
        <v/>
      </c>
    </row>
    <row r="33" spans="1:79" ht="15.75" thickBot="1">
      <c r="A33" s="171">
        <f t="shared" si="29"/>
        <v>45467</v>
      </c>
      <c r="B33" s="172" t="str">
        <f t="shared" ca="1" si="0"/>
        <v/>
      </c>
      <c r="C33" s="190" t="str">
        <f ca="1">AppsAll(A33&lt;TODAY(),АП!$AK$15)</f>
        <v/>
      </c>
      <c r="D33" s="190" t="str">
        <f t="shared" ca="1" si="1"/>
        <v/>
      </c>
      <c r="E33" s="190" t="str">
        <f t="shared" ca="1" si="2"/>
        <v/>
      </c>
      <c r="F33" s="173" t="str">
        <f t="shared" ca="1" si="3"/>
        <v/>
      </c>
      <c r="G33" s="173" t="str">
        <f t="shared" ca="1" si="4"/>
        <v/>
      </c>
      <c r="H33" s="173" t="str">
        <f t="shared" ca="1" si="5"/>
        <v/>
      </c>
      <c r="I33" s="173" t="str">
        <f t="shared" ca="1" si="6"/>
        <v/>
      </c>
      <c r="J33" s="173"/>
      <c r="K33" s="174"/>
      <c r="L33" s="155" t="str">
        <f t="shared" ca="1" si="7"/>
        <v/>
      </c>
      <c r="M33" s="175" t="str">
        <f t="shared" ca="1" si="8"/>
        <v/>
      </c>
      <c r="N33" s="176" t="str">
        <f t="shared" ca="1" si="9"/>
        <v/>
      </c>
      <c r="O33" s="173" t="str">
        <f t="shared" ca="1" si="10"/>
        <v/>
      </c>
      <c r="P33" s="176" t="str">
        <f t="shared" ca="1" si="11"/>
        <v/>
      </c>
      <c r="Q33" s="310" t="str">
        <f t="shared" ca="1" si="12"/>
        <v/>
      </c>
      <c r="R33" s="176" t="str">
        <f t="shared" ca="1" si="13"/>
        <v/>
      </c>
      <c r="S33" s="177" t="str">
        <f t="shared" ca="1" si="14"/>
        <v/>
      </c>
      <c r="T33" s="176" t="str">
        <f t="shared" ca="1" si="15"/>
        <v/>
      </c>
      <c r="U33" s="174" t="str">
        <f t="shared" ca="1" si="16"/>
        <v/>
      </c>
      <c r="V33" s="178" t="str">
        <f t="shared" ca="1" si="17"/>
        <v/>
      </c>
      <c r="W33" s="179" t="str">
        <f t="shared" ca="1" si="18"/>
        <v/>
      </c>
      <c r="X33" s="180" t="str">
        <f t="shared" ca="1" si="19"/>
        <v/>
      </c>
      <c r="Y33" s="173" t="str">
        <f t="shared" ca="1" si="20"/>
        <v/>
      </c>
      <c r="Z33" s="177" t="str">
        <f t="shared" ca="1" si="21"/>
        <v/>
      </c>
      <c r="AA33" s="173" t="str">
        <f t="shared" ca="1" si="22"/>
        <v/>
      </c>
      <c r="AB33" s="174" t="str">
        <f t="shared" ca="1" si="23"/>
        <v/>
      </c>
      <c r="AC33" s="162" t="str">
        <f t="shared" ca="1" si="24"/>
        <v/>
      </c>
      <c r="AD33" s="181"/>
      <c r="AE33" s="174"/>
      <c r="AF33" s="181"/>
      <c r="AG33" s="173"/>
      <c r="AH33" s="174"/>
      <c r="AI33" s="182" t="str">
        <f t="shared" ca="1" si="25"/>
        <v/>
      </c>
      <c r="AJ33" s="183">
        <f t="shared" ca="1" si="30"/>
        <v>380</v>
      </c>
      <c r="AK33" s="179"/>
      <c r="AL33" s="184"/>
      <c r="AM33" s="185" t="str">
        <f t="shared" ca="1" si="26"/>
        <v/>
      </c>
      <c r="AN33" s="186" t="str">
        <f t="shared" ca="1" si="31"/>
        <v/>
      </c>
      <c r="AO33" s="179"/>
      <c r="AP33" s="187"/>
      <c r="AQ33" s="185" t="str">
        <f t="shared" ca="1" si="27"/>
        <v/>
      </c>
      <c r="AR33" s="188"/>
      <c r="AS33" s="162" t="str">
        <f t="shared" ca="1" si="28"/>
        <v/>
      </c>
    </row>
    <row r="34" spans="1:79" ht="15.75" thickBot="1">
      <c r="A34" s="171">
        <f t="shared" si="29"/>
        <v>45468</v>
      </c>
      <c r="B34" s="172" t="str">
        <f t="shared" ca="1" si="0"/>
        <v/>
      </c>
      <c r="C34" s="190" t="str">
        <f ca="1">AppsAll(A34&lt;TODAY(),АП!$AK$15)</f>
        <v/>
      </c>
      <c r="D34" s="190" t="str">
        <f t="shared" ca="1" si="1"/>
        <v/>
      </c>
      <c r="E34" s="190" t="str">
        <f t="shared" ca="1" si="2"/>
        <v/>
      </c>
      <c r="F34" s="173" t="str">
        <f t="shared" ca="1" si="3"/>
        <v/>
      </c>
      <c r="G34" s="173" t="str">
        <f t="shared" ca="1" si="4"/>
        <v/>
      </c>
      <c r="H34" s="173" t="str">
        <f t="shared" ca="1" si="5"/>
        <v/>
      </c>
      <c r="I34" s="173" t="str">
        <f t="shared" ca="1" si="6"/>
        <v/>
      </c>
      <c r="J34" s="173"/>
      <c r="K34" s="174"/>
      <c r="L34" s="155" t="str">
        <f t="shared" ca="1" si="7"/>
        <v/>
      </c>
      <c r="M34" s="175" t="str">
        <f t="shared" ca="1" si="8"/>
        <v/>
      </c>
      <c r="N34" s="176" t="str">
        <f t="shared" ca="1" si="9"/>
        <v/>
      </c>
      <c r="O34" s="173" t="str">
        <f t="shared" ca="1" si="10"/>
        <v/>
      </c>
      <c r="P34" s="176" t="str">
        <f t="shared" ca="1" si="11"/>
        <v/>
      </c>
      <c r="Q34" s="310" t="str">
        <f t="shared" ca="1" si="12"/>
        <v/>
      </c>
      <c r="R34" s="176" t="str">
        <f t="shared" ca="1" si="13"/>
        <v/>
      </c>
      <c r="S34" s="177" t="str">
        <f t="shared" ca="1" si="14"/>
        <v/>
      </c>
      <c r="T34" s="176" t="str">
        <f t="shared" ca="1" si="15"/>
        <v/>
      </c>
      <c r="U34" s="174" t="str">
        <f t="shared" ca="1" si="16"/>
        <v/>
      </c>
      <c r="V34" s="178" t="str">
        <f t="shared" ca="1" si="17"/>
        <v/>
      </c>
      <c r="W34" s="179" t="str">
        <f t="shared" ca="1" si="18"/>
        <v/>
      </c>
      <c r="X34" s="180" t="str">
        <f t="shared" ca="1" si="19"/>
        <v/>
      </c>
      <c r="Y34" s="173" t="str">
        <f t="shared" ca="1" si="20"/>
        <v/>
      </c>
      <c r="Z34" s="177" t="str">
        <f t="shared" ca="1" si="21"/>
        <v/>
      </c>
      <c r="AA34" s="173" t="str">
        <f t="shared" ca="1" si="22"/>
        <v/>
      </c>
      <c r="AB34" s="174" t="str">
        <f t="shared" ca="1" si="23"/>
        <v/>
      </c>
      <c r="AC34" s="162" t="str">
        <f t="shared" ca="1" si="24"/>
        <v/>
      </c>
      <c r="AD34" s="181"/>
      <c r="AE34" s="174"/>
      <c r="AF34" s="181"/>
      <c r="AG34" s="173"/>
      <c r="AH34" s="174"/>
      <c r="AI34" s="182" t="str">
        <f t="shared" ca="1" si="25"/>
        <v/>
      </c>
      <c r="AJ34" s="183" t="str">
        <f t="shared" ca="1" si="30"/>
        <v/>
      </c>
      <c r="AK34" s="179"/>
      <c r="AL34" s="184"/>
      <c r="AM34" s="185" t="str">
        <f t="shared" ca="1" si="26"/>
        <v/>
      </c>
      <c r="AN34" s="186" t="str">
        <f t="shared" ca="1" si="31"/>
        <v/>
      </c>
      <c r="AO34" s="179"/>
      <c r="AP34" s="187"/>
      <c r="AQ34" s="185" t="str">
        <f t="shared" ca="1" si="27"/>
        <v/>
      </c>
      <c r="AR34" s="188"/>
      <c r="AS34" s="162" t="str">
        <f t="shared" ca="1" si="28"/>
        <v/>
      </c>
    </row>
    <row r="35" spans="1:79" ht="15.75" thickBot="1">
      <c r="A35" s="171">
        <f t="shared" si="29"/>
        <v>45469</v>
      </c>
      <c r="B35" s="172" t="str">
        <f t="shared" ca="1" si="0"/>
        <v/>
      </c>
      <c r="C35" s="190" t="str">
        <f ca="1">AppsAll(A35&lt;TODAY(),АП!$AK$15)</f>
        <v/>
      </c>
      <c r="D35" s="190" t="str">
        <f t="shared" ca="1" si="1"/>
        <v/>
      </c>
      <c r="E35" s="190" t="str">
        <f t="shared" ca="1" si="2"/>
        <v/>
      </c>
      <c r="F35" s="173" t="str">
        <f t="shared" ca="1" si="3"/>
        <v/>
      </c>
      <c r="G35" s="173" t="str">
        <f t="shared" ca="1" si="4"/>
        <v/>
      </c>
      <c r="H35" s="173" t="str">
        <f t="shared" ca="1" si="5"/>
        <v/>
      </c>
      <c r="I35" s="173" t="str">
        <f t="shared" ca="1" si="6"/>
        <v/>
      </c>
      <c r="J35" s="173"/>
      <c r="K35" s="174"/>
      <c r="L35" s="155" t="str">
        <f t="shared" ca="1" si="7"/>
        <v/>
      </c>
      <c r="M35" s="175" t="str">
        <f t="shared" ca="1" si="8"/>
        <v/>
      </c>
      <c r="N35" s="176" t="str">
        <f t="shared" ca="1" si="9"/>
        <v/>
      </c>
      <c r="O35" s="173" t="str">
        <f t="shared" ca="1" si="10"/>
        <v/>
      </c>
      <c r="P35" s="176" t="str">
        <f t="shared" ca="1" si="11"/>
        <v/>
      </c>
      <c r="Q35" s="310" t="str">
        <f t="shared" ca="1" si="12"/>
        <v/>
      </c>
      <c r="R35" s="176" t="str">
        <f t="shared" ca="1" si="13"/>
        <v/>
      </c>
      <c r="S35" s="177" t="str">
        <f t="shared" ca="1" si="14"/>
        <v/>
      </c>
      <c r="T35" s="176" t="str">
        <f t="shared" ca="1" si="15"/>
        <v/>
      </c>
      <c r="U35" s="174" t="str">
        <f t="shared" ca="1" si="16"/>
        <v/>
      </c>
      <c r="V35" s="178" t="str">
        <f t="shared" ca="1" si="17"/>
        <v/>
      </c>
      <c r="W35" s="179" t="str">
        <f t="shared" ca="1" si="18"/>
        <v/>
      </c>
      <c r="X35" s="180" t="str">
        <f t="shared" ca="1" si="19"/>
        <v/>
      </c>
      <c r="Y35" s="173" t="str">
        <f t="shared" ca="1" si="20"/>
        <v/>
      </c>
      <c r="Z35" s="177" t="str">
        <f t="shared" ca="1" si="21"/>
        <v/>
      </c>
      <c r="AA35" s="173" t="str">
        <f t="shared" ca="1" si="22"/>
        <v/>
      </c>
      <c r="AB35" s="174" t="str">
        <f t="shared" ca="1" si="23"/>
        <v/>
      </c>
      <c r="AC35" s="162" t="str">
        <f t="shared" ca="1" si="24"/>
        <v/>
      </c>
      <c r="AD35" s="181"/>
      <c r="AE35" s="174"/>
      <c r="AF35" s="181"/>
      <c r="AG35" s="173"/>
      <c r="AH35" s="174"/>
      <c r="AI35" s="182" t="str">
        <f t="shared" ca="1" si="25"/>
        <v/>
      </c>
      <c r="AJ35" s="183" t="str">
        <f t="shared" ca="1" si="30"/>
        <v/>
      </c>
      <c r="AK35" s="179"/>
      <c r="AL35" s="184"/>
      <c r="AM35" s="185" t="str">
        <f t="shared" ca="1" si="26"/>
        <v/>
      </c>
      <c r="AN35" s="186" t="str">
        <f t="shared" ca="1" si="31"/>
        <v/>
      </c>
      <c r="AO35" s="179"/>
      <c r="AP35" s="187"/>
      <c r="AQ35" s="185" t="str">
        <f t="shared" ca="1" si="27"/>
        <v/>
      </c>
      <c r="AR35" s="188"/>
      <c r="AS35" s="162" t="str">
        <f t="shared" ca="1" si="28"/>
        <v/>
      </c>
    </row>
    <row r="36" spans="1:79" ht="15.75" thickBot="1">
      <c r="A36" s="171">
        <f t="shared" si="29"/>
        <v>45470</v>
      </c>
      <c r="B36" s="172" t="str">
        <f t="shared" ca="1" si="0"/>
        <v/>
      </c>
      <c r="C36" s="190" t="str">
        <f ca="1">AppsAll(A36&lt;TODAY(),АП!$AK$15)</f>
        <v/>
      </c>
      <c r="D36" s="190" t="str">
        <f t="shared" ca="1" si="1"/>
        <v/>
      </c>
      <c r="E36" s="190" t="str">
        <f t="shared" ca="1" si="2"/>
        <v/>
      </c>
      <c r="F36" s="173" t="str">
        <f t="shared" ca="1" si="3"/>
        <v/>
      </c>
      <c r="G36" s="173" t="str">
        <f t="shared" ca="1" si="4"/>
        <v/>
      </c>
      <c r="H36" s="173" t="str">
        <f t="shared" ca="1" si="5"/>
        <v/>
      </c>
      <c r="I36" s="173" t="str">
        <f t="shared" ca="1" si="6"/>
        <v/>
      </c>
      <c r="J36" s="173"/>
      <c r="K36" s="174"/>
      <c r="L36" s="155" t="str">
        <f t="shared" ca="1" si="7"/>
        <v/>
      </c>
      <c r="M36" s="175" t="str">
        <f t="shared" ca="1" si="8"/>
        <v/>
      </c>
      <c r="N36" s="176" t="str">
        <f t="shared" ca="1" si="9"/>
        <v/>
      </c>
      <c r="O36" s="173" t="str">
        <f t="shared" ca="1" si="10"/>
        <v/>
      </c>
      <c r="P36" s="176" t="str">
        <f t="shared" ca="1" si="11"/>
        <v/>
      </c>
      <c r="Q36" s="310" t="str">
        <f t="shared" ca="1" si="12"/>
        <v/>
      </c>
      <c r="R36" s="176" t="str">
        <f t="shared" ca="1" si="13"/>
        <v/>
      </c>
      <c r="S36" s="177" t="str">
        <f t="shared" ca="1" si="14"/>
        <v/>
      </c>
      <c r="T36" s="176" t="str">
        <f t="shared" ca="1" si="15"/>
        <v/>
      </c>
      <c r="U36" s="174" t="str">
        <f t="shared" ca="1" si="16"/>
        <v/>
      </c>
      <c r="V36" s="178" t="str">
        <f t="shared" ca="1" si="17"/>
        <v/>
      </c>
      <c r="W36" s="179" t="str">
        <f t="shared" ca="1" si="18"/>
        <v/>
      </c>
      <c r="X36" s="180" t="str">
        <f t="shared" ca="1" si="19"/>
        <v/>
      </c>
      <c r="Y36" s="173" t="str">
        <f t="shared" ca="1" si="20"/>
        <v/>
      </c>
      <c r="Z36" s="177" t="str">
        <f t="shared" ca="1" si="21"/>
        <v/>
      </c>
      <c r="AA36" s="173" t="str">
        <f t="shared" ca="1" si="22"/>
        <v/>
      </c>
      <c r="AB36" s="174" t="str">
        <f t="shared" ca="1" si="23"/>
        <v/>
      </c>
      <c r="AC36" s="162" t="str">
        <f t="shared" ca="1" si="24"/>
        <v/>
      </c>
      <c r="AD36" s="181"/>
      <c r="AE36" s="174"/>
      <c r="AF36" s="181"/>
      <c r="AG36" s="173"/>
      <c r="AH36" s="174"/>
      <c r="AI36" s="182" t="str">
        <f t="shared" ca="1" si="25"/>
        <v/>
      </c>
      <c r="AJ36" s="183" t="str">
        <f t="shared" ca="1" si="30"/>
        <v/>
      </c>
      <c r="AK36" s="179"/>
      <c r="AL36" s="184"/>
      <c r="AM36" s="185" t="str">
        <f t="shared" ca="1" si="26"/>
        <v/>
      </c>
      <c r="AN36" s="186" t="str">
        <f t="shared" ca="1" si="31"/>
        <v/>
      </c>
      <c r="AO36" s="179"/>
      <c r="AP36" s="187"/>
      <c r="AQ36" s="185" t="str">
        <f t="shared" ca="1" si="27"/>
        <v/>
      </c>
      <c r="AR36" s="188"/>
      <c r="AS36" s="162" t="str">
        <f t="shared" ca="1" si="28"/>
        <v/>
      </c>
    </row>
    <row r="37" spans="1:79" ht="15.75" thickBot="1">
      <c r="A37" s="171">
        <f t="shared" si="29"/>
        <v>45471</v>
      </c>
      <c r="B37" s="172" t="str">
        <f t="shared" ca="1" si="0"/>
        <v/>
      </c>
      <c r="C37" s="190" t="str">
        <f ca="1">AppsAll(A37&lt;TODAY(),АП!$AK$15)</f>
        <v/>
      </c>
      <c r="D37" s="190" t="str">
        <f t="shared" ca="1" si="1"/>
        <v/>
      </c>
      <c r="E37" s="190" t="str">
        <f t="shared" ca="1" si="2"/>
        <v/>
      </c>
      <c r="F37" s="173" t="str">
        <f t="shared" ca="1" si="3"/>
        <v/>
      </c>
      <c r="G37" s="173" t="str">
        <f t="shared" ca="1" si="4"/>
        <v/>
      </c>
      <c r="H37" s="173" t="str">
        <f t="shared" ca="1" si="5"/>
        <v/>
      </c>
      <c r="I37" s="173" t="str">
        <f t="shared" ca="1" si="6"/>
        <v/>
      </c>
      <c r="J37" s="173"/>
      <c r="K37" s="174"/>
      <c r="L37" s="155" t="str">
        <f t="shared" ca="1" si="7"/>
        <v/>
      </c>
      <c r="M37" s="175" t="str">
        <f t="shared" ca="1" si="8"/>
        <v/>
      </c>
      <c r="N37" s="176" t="str">
        <f t="shared" ca="1" si="9"/>
        <v/>
      </c>
      <c r="O37" s="173" t="str">
        <f t="shared" ca="1" si="10"/>
        <v/>
      </c>
      <c r="P37" s="176" t="str">
        <f t="shared" ca="1" si="11"/>
        <v/>
      </c>
      <c r="Q37" s="310" t="str">
        <f t="shared" ca="1" si="12"/>
        <v/>
      </c>
      <c r="R37" s="176" t="str">
        <f t="shared" ca="1" si="13"/>
        <v/>
      </c>
      <c r="S37" s="177" t="str">
        <f t="shared" ca="1" si="14"/>
        <v/>
      </c>
      <c r="T37" s="176" t="str">
        <f t="shared" ca="1" si="15"/>
        <v/>
      </c>
      <c r="U37" s="174" t="str">
        <f t="shared" ca="1" si="16"/>
        <v/>
      </c>
      <c r="V37" s="178" t="str">
        <f t="shared" ca="1" si="17"/>
        <v/>
      </c>
      <c r="W37" s="179" t="str">
        <f t="shared" ca="1" si="18"/>
        <v/>
      </c>
      <c r="X37" s="180" t="str">
        <f t="shared" ca="1" si="19"/>
        <v/>
      </c>
      <c r="Y37" s="173" t="str">
        <f t="shared" ca="1" si="20"/>
        <v/>
      </c>
      <c r="Z37" s="177" t="str">
        <f t="shared" ca="1" si="21"/>
        <v/>
      </c>
      <c r="AA37" s="173" t="str">
        <f t="shared" ca="1" si="22"/>
        <v/>
      </c>
      <c r="AB37" s="174" t="str">
        <f t="shared" ca="1" si="23"/>
        <v/>
      </c>
      <c r="AC37" s="162" t="str">
        <f t="shared" ca="1" si="24"/>
        <v/>
      </c>
      <c r="AD37" s="181"/>
      <c r="AE37" s="174"/>
      <c r="AF37" s="181"/>
      <c r="AG37" s="173"/>
      <c r="AH37" s="174"/>
      <c r="AI37" s="182" t="str">
        <f t="shared" ca="1" si="25"/>
        <v/>
      </c>
      <c r="AJ37" s="183" t="str">
        <f t="shared" ca="1" si="30"/>
        <v/>
      </c>
      <c r="AK37" s="179"/>
      <c r="AL37" s="184"/>
      <c r="AM37" s="185" t="str">
        <f t="shared" ca="1" si="26"/>
        <v/>
      </c>
      <c r="AN37" s="186" t="str">
        <f t="shared" ca="1" si="31"/>
        <v/>
      </c>
      <c r="AO37" s="179"/>
      <c r="AP37" s="187"/>
      <c r="AQ37" s="185" t="str">
        <f t="shared" ca="1" si="27"/>
        <v/>
      </c>
      <c r="AR37" s="188"/>
      <c r="AS37" s="162" t="str">
        <f t="shared" ca="1" si="28"/>
        <v/>
      </c>
    </row>
    <row r="38" spans="1:79" ht="15.75" thickBot="1">
      <c r="A38" s="171">
        <f t="shared" si="29"/>
        <v>45472</v>
      </c>
      <c r="B38" s="172" t="str">
        <f t="shared" ca="1" si="0"/>
        <v/>
      </c>
      <c r="C38" s="190" t="str">
        <f ca="1">AppsAll(A38&lt;TODAY(),АП!$AK$15)</f>
        <v/>
      </c>
      <c r="D38" s="190" t="str">
        <f t="shared" ca="1" si="1"/>
        <v/>
      </c>
      <c r="E38" s="190" t="str">
        <f t="shared" ca="1" si="2"/>
        <v/>
      </c>
      <c r="F38" s="173" t="str">
        <f t="shared" ca="1" si="3"/>
        <v/>
      </c>
      <c r="G38" s="173" t="str">
        <f t="shared" ca="1" si="4"/>
        <v/>
      </c>
      <c r="H38" s="173" t="str">
        <f t="shared" ca="1" si="5"/>
        <v/>
      </c>
      <c r="I38" s="173" t="str">
        <f t="shared" ca="1" si="6"/>
        <v/>
      </c>
      <c r="J38" s="173"/>
      <c r="K38" s="174"/>
      <c r="L38" s="155" t="str">
        <f t="shared" ca="1" si="7"/>
        <v/>
      </c>
      <c r="M38" s="175" t="str">
        <f t="shared" ca="1" si="8"/>
        <v/>
      </c>
      <c r="N38" s="176" t="str">
        <f t="shared" ca="1" si="9"/>
        <v/>
      </c>
      <c r="O38" s="173" t="str">
        <f t="shared" ca="1" si="10"/>
        <v/>
      </c>
      <c r="P38" s="176" t="str">
        <f t="shared" ca="1" si="11"/>
        <v/>
      </c>
      <c r="Q38" s="310" t="str">
        <f t="shared" ca="1" si="12"/>
        <v/>
      </c>
      <c r="R38" s="176" t="str">
        <f t="shared" ca="1" si="13"/>
        <v/>
      </c>
      <c r="S38" s="177" t="str">
        <f t="shared" ca="1" si="14"/>
        <v/>
      </c>
      <c r="T38" s="176" t="str">
        <f t="shared" ca="1" si="15"/>
        <v/>
      </c>
      <c r="U38" s="174" t="str">
        <f t="shared" ca="1" si="16"/>
        <v/>
      </c>
      <c r="V38" s="178" t="str">
        <f t="shared" ca="1" si="17"/>
        <v/>
      </c>
      <c r="W38" s="179" t="str">
        <f t="shared" ca="1" si="18"/>
        <v/>
      </c>
      <c r="X38" s="180" t="str">
        <f t="shared" ca="1" si="19"/>
        <v/>
      </c>
      <c r="Y38" s="173" t="str">
        <f t="shared" ca="1" si="20"/>
        <v/>
      </c>
      <c r="Z38" s="177" t="str">
        <f t="shared" ca="1" si="21"/>
        <v/>
      </c>
      <c r="AA38" s="173" t="str">
        <f t="shared" ca="1" si="22"/>
        <v/>
      </c>
      <c r="AB38" s="174" t="str">
        <f t="shared" ca="1" si="23"/>
        <v/>
      </c>
      <c r="AC38" s="162" t="str">
        <f t="shared" ca="1" si="24"/>
        <v/>
      </c>
      <c r="AD38" s="181"/>
      <c r="AE38" s="174"/>
      <c r="AF38" s="181"/>
      <c r="AG38" s="173"/>
      <c r="AH38" s="174"/>
      <c r="AI38" s="182" t="str">
        <f t="shared" ca="1" si="25"/>
        <v/>
      </c>
      <c r="AJ38" s="183" t="str">
        <f t="shared" ca="1" si="30"/>
        <v/>
      </c>
      <c r="AK38" s="179"/>
      <c r="AL38" s="184"/>
      <c r="AM38" s="185" t="str">
        <f t="shared" ca="1" si="26"/>
        <v/>
      </c>
      <c r="AN38" s="186" t="str">
        <f t="shared" ca="1" si="31"/>
        <v/>
      </c>
      <c r="AO38" s="179"/>
      <c r="AP38" s="187"/>
      <c r="AQ38" s="185" t="str">
        <f t="shared" ca="1" si="27"/>
        <v/>
      </c>
      <c r="AR38" s="188"/>
      <c r="AS38" s="162" t="str">
        <f t="shared" ca="1" si="28"/>
        <v/>
      </c>
    </row>
    <row r="39" spans="1:79" ht="15.75" thickBot="1">
      <c r="A39" s="171">
        <f t="shared" si="29"/>
        <v>45473</v>
      </c>
      <c r="B39" s="172" t="str">
        <f t="shared" ca="1" si="0"/>
        <v/>
      </c>
      <c r="C39" s="190" t="str">
        <f ca="1">AppsAll(A39&lt;TODAY(),АП!$AK$15)</f>
        <v/>
      </c>
      <c r="D39" s="190" t="str">
        <f t="shared" ca="1" si="1"/>
        <v/>
      </c>
      <c r="E39" s="190" t="str">
        <f t="shared" ca="1" si="2"/>
        <v/>
      </c>
      <c r="F39" s="173" t="str">
        <f t="shared" ca="1" si="3"/>
        <v/>
      </c>
      <c r="G39" s="173" t="str">
        <f t="shared" ca="1" si="4"/>
        <v/>
      </c>
      <c r="H39" s="173" t="str">
        <f t="shared" ca="1" si="5"/>
        <v/>
      </c>
      <c r="I39" s="173" t="str">
        <f t="shared" ca="1" si="6"/>
        <v/>
      </c>
      <c r="J39" s="173"/>
      <c r="K39" s="174"/>
      <c r="L39" s="155" t="str">
        <f t="shared" ca="1" si="7"/>
        <v/>
      </c>
      <c r="M39" s="175" t="str">
        <f t="shared" ca="1" si="8"/>
        <v/>
      </c>
      <c r="N39" s="176" t="str">
        <f t="shared" ca="1" si="9"/>
        <v/>
      </c>
      <c r="O39" s="173" t="str">
        <f t="shared" ca="1" si="10"/>
        <v/>
      </c>
      <c r="P39" s="176" t="str">
        <f t="shared" ca="1" si="11"/>
        <v/>
      </c>
      <c r="Q39" s="310" t="str">
        <f t="shared" ca="1" si="12"/>
        <v/>
      </c>
      <c r="R39" s="176" t="str">
        <f t="shared" ca="1" si="13"/>
        <v/>
      </c>
      <c r="S39" s="177" t="str">
        <f t="shared" ca="1" si="14"/>
        <v/>
      </c>
      <c r="T39" s="176" t="str">
        <f t="shared" ca="1" si="15"/>
        <v/>
      </c>
      <c r="U39" s="174" t="str">
        <f t="shared" ca="1" si="16"/>
        <v/>
      </c>
      <c r="V39" s="178" t="str">
        <f t="shared" ca="1" si="17"/>
        <v/>
      </c>
      <c r="W39" s="179" t="str">
        <f t="shared" ca="1" si="18"/>
        <v/>
      </c>
      <c r="X39" s="180" t="str">
        <f t="shared" ca="1" si="19"/>
        <v/>
      </c>
      <c r="Y39" s="173" t="str">
        <f t="shared" ca="1" si="20"/>
        <v/>
      </c>
      <c r="Z39" s="177" t="str">
        <f t="shared" ca="1" si="21"/>
        <v/>
      </c>
      <c r="AA39" s="173" t="str">
        <f t="shared" ca="1" si="22"/>
        <v/>
      </c>
      <c r="AB39" s="174" t="str">
        <f t="shared" ca="1" si="23"/>
        <v/>
      </c>
      <c r="AC39" s="162" t="str">
        <f t="shared" ca="1" si="24"/>
        <v/>
      </c>
      <c r="AD39" s="181"/>
      <c r="AE39" s="174"/>
      <c r="AF39" s="181"/>
      <c r="AG39" s="173"/>
      <c r="AH39" s="174"/>
      <c r="AI39" s="182" t="str">
        <f t="shared" ca="1" si="25"/>
        <v/>
      </c>
      <c r="AJ39" s="183" t="str">
        <f t="shared" ca="1" si="30"/>
        <v/>
      </c>
      <c r="AK39" s="179"/>
      <c r="AL39" s="184"/>
      <c r="AM39" s="185" t="str">
        <f t="shared" ca="1" si="26"/>
        <v/>
      </c>
      <c r="AN39" s="186" t="str">
        <f t="shared" ca="1" si="31"/>
        <v/>
      </c>
      <c r="AO39" s="179"/>
      <c r="AP39" s="187"/>
      <c r="AQ39" s="185" t="str">
        <f t="shared" ca="1" si="27"/>
        <v/>
      </c>
      <c r="AR39" s="188"/>
      <c r="AS39" s="162" t="str">
        <f t="shared" ca="1" si="28"/>
        <v/>
      </c>
    </row>
    <row r="40" spans="1:79" ht="15.75" thickBot="1">
      <c r="A40" s="292">
        <f t="shared" si="29"/>
        <v>45474</v>
      </c>
      <c r="B40" s="293" t="str">
        <f t="shared" ca="1" si="0"/>
        <v/>
      </c>
      <c r="C40" s="294" t="str">
        <f ca="1">AppsAll(A40&lt;TODAY(),АП!$AK$15)</f>
        <v/>
      </c>
      <c r="D40" s="294" t="str">
        <f t="shared" ca="1" si="1"/>
        <v/>
      </c>
      <c r="E40" s="294" t="str">
        <f t="shared" ca="1" si="2"/>
        <v/>
      </c>
      <c r="F40" s="200" t="str">
        <f t="shared" ca="1" si="3"/>
        <v/>
      </c>
      <c r="G40" s="200" t="str">
        <f t="shared" ca="1" si="4"/>
        <v/>
      </c>
      <c r="H40" s="200" t="str">
        <f t="shared" ca="1" si="5"/>
        <v/>
      </c>
      <c r="I40" s="200" t="str">
        <f t="shared" ca="1" si="6"/>
        <v/>
      </c>
      <c r="J40" s="200"/>
      <c r="K40" s="202"/>
      <c r="L40" s="303" t="str">
        <f t="shared" ca="1" si="7"/>
        <v/>
      </c>
      <c r="M40" s="195" t="str">
        <f t="shared" ca="1" si="8"/>
        <v/>
      </c>
      <c r="N40" s="196" t="str">
        <f t="shared" ca="1" si="9"/>
        <v/>
      </c>
      <c r="O40" s="200" t="str">
        <f t="shared" ca="1" si="10"/>
        <v/>
      </c>
      <c r="P40" s="196" t="str">
        <f t="shared" ca="1" si="11"/>
        <v/>
      </c>
      <c r="Q40" s="310" t="str">
        <f t="shared" ca="1" si="12"/>
        <v/>
      </c>
      <c r="R40" s="196" t="str">
        <f t="shared" ca="1" si="13"/>
        <v/>
      </c>
      <c r="S40" s="201" t="str">
        <f t="shared" ca="1" si="14"/>
        <v/>
      </c>
      <c r="T40" s="196" t="str">
        <f t="shared" ca="1" si="15"/>
        <v/>
      </c>
      <c r="U40" s="202" t="str">
        <f t="shared" ca="1" si="16"/>
        <v/>
      </c>
      <c r="V40" s="197" t="str">
        <f t="shared" ca="1" si="17"/>
        <v/>
      </c>
      <c r="W40" s="198" t="str">
        <f t="shared" ca="1" si="18"/>
        <v/>
      </c>
      <c r="X40" s="199" t="str">
        <f t="shared" ca="1" si="19"/>
        <v/>
      </c>
      <c r="Y40" s="200" t="str">
        <f t="shared" ca="1" si="20"/>
        <v/>
      </c>
      <c r="Z40" s="201" t="str">
        <f t="shared" ca="1" si="21"/>
        <v/>
      </c>
      <c r="AA40" s="200" t="str">
        <f t="shared" ca="1" si="22"/>
        <v/>
      </c>
      <c r="AB40" s="202" t="str">
        <f t="shared" ca="1" si="23"/>
        <v/>
      </c>
      <c r="AC40" s="304" t="str">
        <f t="shared" ca="1" si="24"/>
        <v/>
      </c>
      <c r="AD40" s="203"/>
      <c r="AE40" s="202"/>
      <c r="AF40" s="203"/>
      <c r="AG40" s="200"/>
      <c r="AH40" s="202"/>
      <c r="AI40" s="204" t="str">
        <f t="shared" ca="1" si="25"/>
        <v/>
      </c>
      <c r="AJ40" s="305" t="str">
        <f t="shared" ca="1" si="30"/>
        <v/>
      </c>
      <c r="AK40" s="198"/>
      <c r="AL40" s="205"/>
      <c r="AM40" s="306" t="str">
        <f t="shared" ca="1" si="26"/>
        <v/>
      </c>
      <c r="AN40" s="307" t="str">
        <f t="shared" ca="1" si="31"/>
        <v/>
      </c>
      <c r="AO40" s="198"/>
      <c r="AP40" s="295"/>
      <c r="AQ40" s="306" t="str">
        <f t="shared" ca="1" si="27"/>
        <v/>
      </c>
      <c r="AR40" s="206"/>
      <c r="AS40" s="304" t="str">
        <f t="shared" ca="1" si="28"/>
        <v/>
      </c>
    </row>
    <row r="41" spans="1:79" ht="16.5" thickBot="1">
      <c r="A41" s="308" t="s">
        <v>2018</v>
      </c>
      <c r="B41" s="210">
        <f t="shared" ref="B41:AQ41" ca="1" si="32">SUM(B10:B40)</f>
        <v>483</v>
      </c>
      <c r="C41" s="208">
        <f t="shared" ca="1" si="32"/>
        <v>253</v>
      </c>
      <c r="D41" s="208">
        <f t="shared" ca="1" si="32"/>
        <v>104</v>
      </c>
      <c r="E41" s="208">
        <f t="shared" ca="1" si="32"/>
        <v>45</v>
      </c>
      <c r="F41" s="208">
        <f t="shared" ca="1" si="32"/>
        <v>75</v>
      </c>
      <c r="G41" s="208">
        <f t="shared" ca="1" si="32"/>
        <v>0</v>
      </c>
      <c r="H41" s="208">
        <f t="shared" ca="1" si="32"/>
        <v>5</v>
      </c>
      <c r="I41" s="208">
        <f t="shared" ca="1" si="32"/>
        <v>159</v>
      </c>
      <c r="J41" s="208">
        <f t="shared" si="32"/>
        <v>0</v>
      </c>
      <c r="K41" s="208">
        <f t="shared" si="32"/>
        <v>0</v>
      </c>
      <c r="L41" s="207">
        <f t="shared" ca="1" si="32"/>
        <v>95</v>
      </c>
      <c r="M41" s="208">
        <f t="shared" ca="1" si="32"/>
        <v>63</v>
      </c>
      <c r="N41" s="208">
        <f t="shared" ca="1" si="32"/>
        <v>63</v>
      </c>
      <c r="O41" s="208">
        <f t="shared" ca="1" si="32"/>
        <v>184</v>
      </c>
      <c r="P41" s="208">
        <f t="shared" ca="1" si="32"/>
        <v>42</v>
      </c>
      <c r="Q41" s="208">
        <f t="shared" ca="1" si="32"/>
        <v>5</v>
      </c>
      <c r="R41" s="208">
        <f t="shared" ca="1" si="32"/>
        <v>5</v>
      </c>
      <c r="S41" s="208">
        <f t="shared" ca="1" si="32"/>
        <v>11</v>
      </c>
      <c r="T41" s="208">
        <f t="shared" ca="1" si="32"/>
        <v>25</v>
      </c>
      <c r="U41" s="209">
        <f t="shared" ca="1" si="32"/>
        <v>2</v>
      </c>
      <c r="V41" s="396">
        <f t="shared" ca="1" si="32"/>
        <v>384.4</v>
      </c>
      <c r="W41" s="396">
        <f t="shared" ca="1" si="32"/>
        <v>384.4</v>
      </c>
      <c r="X41" s="208">
        <f t="shared" ca="1" si="32"/>
        <v>470</v>
      </c>
      <c r="Y41" s="208">
        <f t="shared" ca="1" si="32"/>
        <v>470</v>
      </c>
      <c r="Z41" s="208">
        <f t="shared" ca="1" si="32"/>
        <v>1525</v>
      </c>
      <c r="AA41" s="208">
        <f t="shared" ca="1" si="32"/>
        <v>1628</v>
      </c>
      <c r="AB41" s="209">
        <f t="shared" ca="1" si="32"/>
        <v>101</v>
      </c>
      <c r="AC41" s="207">
        <f t="shared" ca="1" si="32"/>
        <v>0</v>
      </c>
      <c r="AD41" s="210">
        <f t="shared" si="32"/>
        <v>0</v>
      </c>
      <c r="AE41" s="209">
        <f t="shared" si="32"/>
        <v>0</v>
      </c>
      <c r="AF41" s="210">
        <f t="shared" si="32"/>
        <v>0</v>
      </c>
      <c r="AG41" s="208">
        <f t="shared" si="32"/>
        <v>0</v>
      </c>
      <c r="AH41" s="209">
        <f t="shared" si="32"/>
        <v>0</v>
      </c>
      <c r="AI41" s="207">
        <f t="shared" ca="1" si="32"/>
        <v>4</v>
      </c>
      <c r="AJ41" s="211">
        <f t="shared" ca="1" si="32"/>
        <v>9120</v>
      </c>
      <c r="AK41" s="211">
        <f t="shared" si="32"/>
        <v>0</v>
      </c>
      <c r="AL41" s="212">
        <f t="shared" si="32"/>
        <v>0</v>
      </c>
      <c r="AM41" s="213">
        <f t="shared" ca="1" si="32"/>
        <v>8740</v>
      </c>
      <c r="AN41" s="211">
        <f t="shared" ca="1" si="32"/>
        <v>184</v>
      </c>
      <c r="AO41" s="214">
        <f t="shared" si="32"/>
        <v>20</v>
      </c>
      <c r="AP41" s="215">
        <f t="shared" si="32"/>
        <v>23</v>
      </c>
      <c r="AQ41" s="213">
        <f t="shared" ca="1" si="32"/>
        <v>181</v>
      </c>
      <c r="AR41" s="216">
        <f>AVERAGE(AR10:AR40)</f>
        <v>28.85</v>
      </c>
      <c r="AS41" s="207">
        <f ca="1">D41+E41+F41+G41+H41+I41+L41-B41</f>
        <v>0</v>
      </c>
    </row>
    <row r="43" spans="1:79">
      <c r="B43" s="217" t="s">
        <v>2019</v>
      </c>
    </row>
    <row r="44" spans="1:79">
      <c r="B44" s="217" t="s">
        <v>2020</v>
      </c>
    </row>
    <row r="47" spans="1:79" s="222" customFormat="1" ht="21" customHeight="1">
      <c r="A47" s="218" t="s">
        <v>2021</v>
      </c>
      <c r="B47" s="218"/>
      <c r="C47" s="218"/>
      <c r="D47" s="218"/>
      <c r="E47" s="218"/>
      <c r="F47" s="218"/>
      <c r="G47" s="218"/>
      <c r="H47" s="218"/>
      <c r="I47" s="218"/>
      <c r="J47" s="218"/>
      <c r="K47" s="218"/>
      <c r="L47" s="219"/>
      <c r="M47" s="219"/>
      <c r="N47" s="220"/>
      <c r="O47" s="220"/>
      <c r="P47" s="220"/>
      <c r="Q47" s="220"/>
      <c r="R47" s="220"/>
      <c r="S47" s="220"/>
      <c r="T47" s="220"/>
      <c r="U47" s="220"/>
      <c r="V47" s="220"/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  <c r="AU47" s="221"/>
      <c r="AV47" s="221"/>
      <c r="AW47" s="221"/>
      <c r="AX47" s="221"/>
      <c r="AY47" s="221"/>
      <c r="AZ47" s="221"/>
      <c r="BA47" s="221"/>
      <c r="BD47" s="221"/>
      <c r="BE47" s="221"/>
      <c r="BF47" s="221"/>
      <c r="BG47" s="221"/>
      <c r="BH47" s="221"/>
      <c r="BI47" s="221"/>
      <c r="BJ47" s="221"/>
      <c r="BK47" s="221"/>
      <c r="BL47" s="221"/>
      <c r="BM47" s="221"/>
      <c r="BN47" s="221"/>
      <c r="BO47" s="221"/>
      <c r="BP47" s="221"/>
      <c r="BQ47" s="221"/>
      <c r="BR47" s="221"/>
      <c r="BS47" s="221"/>
      <c r="BT47" s="221"/>
      <c r="BU47" s="221"/>
      <c r="BV47" s="221"/>
      <c r="BW47" s="221"/>
      <c r="BX47" s="221"/>
      <c r="BY47" s="221"/>
      <c r="BZ47" s="221"/>
      <c r="CA47" s="221"/>
    </row>
    <row r="48" spans="1:79" s="222" customFormat="1" ht="21" customHeight="1">
      <c r="A48" s="218" t="s">
        <v>2022</v>
      </c>
      <c r="B48" s="218"/>
      <c r="C48" s="218"/>
      <c r="D48" s="218"/>
      <c r="E48" s="218"/>
      <c r="F48" s="218"/>
      <c r="G48" s="218"/>
      <c r="H48" s="218"/>
      <c r="I48" s="218"/>
      <c r="J48" s="218"/>
      <c r="K48" s="218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  <c r="AU48" s="221"/>
      <c r="AV48" s="221"/>
      <c r="AW48" s="221"/>
      <c r="AX48" s="221"/>
      <c r="AY48" s="221"/>
      <c r="AZ48" s="221"/>
      <c r="BA48" s="221"/>
      <c r="BD48" s="221"/>
      <c r="BE48" s="221"/>
      <c r="BF48" s="221"/>
      <c r="BG48" s="221"/>
      <c r="BH48" s="221"/>
      <c r="BI48" s="221"/>
      <c r="BJ48" s="221"/>
      <c r="BK48" s="221"/>
      <c r="BL48" s="221"/>
      <c r="BM48" s="221"/>
      <c r="BN48" s="221"/>
      <c r="BO48" s="221"/>
      <c r="BP48" s="221"/>
      <c r="BQ48" s="221"/>
      <c r="BR48" s="221"/>
      <c r="BS48" s="221"/>
      <c r="BT48" s="221"/>
      <c r="BU48" s="221"/>
      <c r="BV48" s="221"/>
      <c r="BW48" s="221"/>
      <c r="BX48" s="221"/>
      <c r="BY48" s="221"/>
      <c r="BZ48" s="221"/>
      <c r="CA48" s="221"/>
    </row>
  </sheetData>
  <mergeCells count="57">
    <mergeCell ref="AO8:AO9"/>
    <mergeCell ref="AP8:AP9"/>
    <mergeCell ref="AQ8:AQ9"/>
    <mergeCell ref="AH8:AH9"/>
    <mergeCell ref="AJ8:AJ9"/>
    <mergeCell ref="AK8:AK9"/>
    <mergeCell ref="AL8:AL9"/>
    <mergeCell ref="AM8:AM9"/>
    <mergeCell ref="AN8:AN9"/>
    <mergeCell ref="AC7:AH7"/>
    <mergeCell ref="AI7:AI9"/>
    <mergeCell ref="AJ7:AM7"/>
    <mergeCell ref="AN7:AQ7"/>
    <mergeCell ref="O8:O9"/>
    <mergeCell ref="P8:P9"/>
    <mergeCell ref="AC8:AC9"/>
    <mergeCell ref="AD8:AE8"/>
    <mergeCell ref="AF8:AF9"/>
    <mergeCell ref="AG8:AG9"/>
    <mergeCell ref="Z6:Z9"/>
    <mergeCell ref="AA6:AA9"/>
    <mergeCell ref="AB6:AB9"/>
    <mergeCell ref="V6:V9"/>
    <mergeCell ref="W6:W9"/>
    <mergeCell ref="X6:X9"/>
    <mergeCell ref="G6:G9"/>
    <mergeCell ref="H6:H9"/>
    <mergeCell ref="I6:I9"/>
    <mergeCell ref="J6:J9"/>
    <mergeCell ref="Y6:Y9"/>
    <mergeCell ref="K6:K9"/>
    <mergeCell ref="L6:L9"/>
    <mergeCell ref="M6:P6"/>
    <mergeCell ref="Q6:Q9"/>
    <mergeCell ref="R6:R9"/>
    <mergeCell ref="S6:S9"/>
    <mergeCell ref="M7:M9"/>
    <mergeCell ref="N7:N9"/>
    <mergeCell ref="O7:P7"/>
    <mergeCell ref="T6:T9"/>
    <mergeCell ref="U6:U9"/>
    <mergeCell ref="A1:AS1"/>
    <mergeCell ref="A2:AS2"/>
    <mergeCell ref="A3:AS3"/>
    <mergeCell ref="A5:A9"/>
    <mergeCell ref="B5:K5"/>
    <mergeCell ref="L5:U5"/>
    <mergeCell ref="V5:AB5"/>
    <mergeCell ref="AC5:AI6"/>
    <mergeCell ref="AJ5:AQ6"/>
    <mergeCell ref="AR5:AR9"/>
    <mergeCell ref="AS5:AS9"/>
    <mergeCell ref="B6:B9"/>
    <mergeCell ref="C6:C9"/>
    <mergeCell ref="D6:D9"/>
    <mergeCell ref="E6:E9"/>
    <mergeCell ref="F6:F9"/>
  </mergeCells>
  <conditionalFormatting sqref="A10:AS40">
    <cfRule type="expression" dxfId="7" priority="1">
      <formula>$A10=TODAY()</formula>
    </cfRule>
    <cfRule type="expression" dxfId="6" priority="3">
      <formula>$A10&gt;TODAY()</formula>
    </cfRule>
    <cfRule type="expression" dxfId="5" priority="4">
      <formula>OR(WEEKDAY($A10)=1,WEEKDAY($A10)=7)</formula>
    </cfRule>
  </conditionalFormatting>
  <pageMargins left="0" right="0" top="0" bottom="0" header="0" footer="0"/>
  <pageSetup paperSize="9" scale="39" orientation="landscape" verticalDpi="300" r:id="rId1"/>
  <ignoredErrors>
    <ignoredError sqref="L10 L15:L40 L11:L14 J40:K40 J39:K39 J38:K38 J37:K37 J36:K36 J35:K35 J34:K34 J33:K33 J32:K32 J31:K31 J30:K30 J28:K28 J27:K27 J26:K26 J25:K25 J24:K24 J23:K23 J22:K22 J21:K21 J20:K20 J19:K19 J18:K18 J17:K17 J16:K16 J15:K15 J11:K14 J29:K29 J10:K10 A28 A10 M10:N10 A40 A29 M29:N29 A11:A14 M11:N14 A15 M15:N15 A16 M16:N16 A17 M17:N17 A18 M18:N18 A19 M19:N19 A20 M20:N20 A21 M21:N21 A22 M22:N22 A23 M23:N23 A24 M24:N24 A25 M25:N25 A26 M26:N26 A27 M27:N27 M28:N28 A30 M30:N30 A31 M31:N31 A32 M32:N32 A33 M33:N33 A34 M34:N34 A35 M35:N35 A36 M36:N36 A37 M37:N37 A38 M38:N38 A39 M39:N39 M40:N40 B41:AS41 AI11:AL40 U10 Q40:U40 Q28:U28 Q39:U39 Q38:U38 Q37:U37 Q36:U36 Q35:U35 Q34:U34 Q33:U33 Q32:U32 Q31:U31 Q30:U30 Q27:U27 Q26:U26 Q25:U25 Q24:U24 Q23:U23 Q22:U22 Q21:R21 Q20:U20 Q19:U19 Q18:U18 Q17:U17 Q16:U16 Q15:U15 Q11:U14 Q29:U29 Q10:S10 O40 O39 O38 O37 O36 O35 O34 O33 O32 O31 O30 O28 O27 O26 O25 O24 O23 O22 O21 O20 O19 O18 O17 O16 O15 O11:O14 O29 O10:P10 P40 P29 P28 P11:P14 P15 P16 P17 P18 P19 P20 P21 P22 P23 P24 P25 P26 P27 P30 P31 P32 P33 P34 P35 P36 P37 P38 P39 T10 V29:AB29 V11:AB14 V15:AB15 V16:AB16 V17:AB17 V18:AB18 V19:AB19 V20:AB20 V21:AB21 V22:AB22 V23:AB23 V24:AB24 V25:AB25 V26:AB26 V27:AB27 V30:AB30 V31:AB31 V32:AB32 V33:AB33 V34:AB34 V35:AB35 V36:AB36 V37:AB37 V38:AB38 V39:AB39 V28:AB28 V40:AB40 V10:AB10 C10:H10 C28:H28 C40:H40 C11:H14 C15:H15 C16:H16 C17:H17 C18:H18 C19:H19 C20:H20 C21:H21 C22:H22 C23:H23 C24:H24 C25:H25 C26:H26 C27:H27 C30:H30 C31:H31 C32:H32 C33:H33 C34:H34 C35:H35 C36:H36 C37:H37 C38:H38 C39:H39 C29:H29 B10:B40 I10:I40 AI10 AO10:AQ10 AN12:AP12 AR10 AR25 AN11:AO11 AK10:AM10 AN17:AO17 AN13 AN14:AO14 AN15:AO15 AN16:AO16 AN19:AP19 AN18:AO18 AN25:AP25 AN20:AO20 AN21:AO21 U21 AN22:AO22 AN23:AO23 AN24:AO24 AR32:AR40 AN27:AP29 AN26:AO26 AN32:AP40 AN30:AO30 AN31:AO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rgb="FFFF0000"/>
    <pageSetUpPr fitToPage="1"/>
  </sheetPr>
  <dimension ref="A1:FX48"/>
  <sheetViews>
    <sheetView view="pageBreakPreview" topLeftCell="A4" zoomScale="85" zoomScaleNormal="30" zoomScaleSheetLayoutView="85" workbookViewId="0">
      <selection activeCell="I10" sqref="I10"/>
    </sheetView>
  </sheetViews>
  <sheetFormatPr defaultColWidth="9.140625" defaultRowHeight="15"/>
  <cols>
    <col min="1" max="1" width="12.85546875" style="224" customWidth="1"/>
    <col min="2" max="2" width="7.28515625" style="224" customWidth="1"/>
    <col min="3" max="3" width="9.28515625" style="224" bestFit="1" customWidth="1"/>
    <col min="4" max="4" width="5.42578125" style="224" customWidth="1"/>
    <col min="5" max="5" width="7.5703125" style="224" customWidth="1"/>
    <col min="6" max="6" width="5.28515625" style="224" customWidth="1"/>
    <col min="7" max="7" width="5.7109375" style="224" customWidth="1"/>
    <col min="8" max="8" width="5.85546875" style="224" customWidth="1"/>
    <col min="9" max="9" width="5.5703125" style="224" customWidth="1"/>
    <col min="10" max="10" width="6.5703125" style="224" customWidth="1"/>
    <col min="11" max="11" width="9" style="224" customWidth="1"/>
    <col min="12" max="12" width="8" style="224" customWidth="1"/>
    <col min="13" max="13" width="6.28515625" style="224" customWidth="1"/>
    <col min="14" max="14" width="7.28515625" style="224" customWidth="1"/>
    <col min="15" max="15" width="6" style="224" customWidth="1"/>
    <col min="16" max="16" width="6.42578125" style="224" customWidth="1"/>
    <col min="17" max="17" width="5.5703125" style="224" customWidth="1"/>
    <col min="18" max="18" width="6.140625" style="224" customWidth="1"/>
    <col min="19" max="19" width="8.7109375" style="224" customWidth="1"/>
    <col min="20" max="20" width="6.7109375" style="224" customWidth="1"/>
    <col min="21" max="21" width="8.42578125" style="224" customWidth="1"/>
    <col min="22" max="22" width="6.7109375" style="224" customWidth="1"/>
    <col min="23" max="23" width="10.7109375" style="224" customWidth="1"/>
    <col min="24" max="24" width="12.7109375" style="224" customWidth="1"/>
    <col min="25" max="25" width="8.85546875" style="224" customWidth="1"/>
    <col min="26" max="27" width="7.7109375" style="224" customWidth="1"/>
    <col min="28" max="28" width="6" style="224" customWidth="1"/>
    <col min="29" max="32" width="12.42578125" style="224" customWidth="1"/>
    <col min="33" max="33" width="10.42578125" style="224" customWidth="1"/>
    <col min="34" max="35" width="9.28515625" style="224" bestFit="1" customWidth="1"/>
    <col min="36" max="36" width="10.7109375" style="224" customWidth="1"/>
    <col min="37" max="37" width="14" style="224" customWidth="1"/>
    <col min="38" max="38" width="11.28515625" style="223" bestFit="1" customWidth="1"/>
    <col min="39" max="39" width="9.28515625" style="223" bestFit="1" customWidth="1"/>
    <col min="40" max="180" width="9.140625" style="223"/>
    <col min="181" max="16384" width="9.140625" style="224"/>
  </cols>
  <sheetData>
    <row r="1" spans="1:39" ht="15.75">
      <c r="A1" s="466" t="s">
        <v>1967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</row>
    <row r="2" spans="1:39" ht="15.75" customHeight="1">
      <c r="A2" s="466" t="s">
        <v>2023</v>
      </c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</row>
    <row r="3" spans="1:39" ht="15.75" customHeight="1">
      <c r="A3" s="467">
        <f>'За день'!A3:AS3</f>
        <v>45444</v>
      </c>
      <c r="B3" s="467"/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</row>
    <row r="4" spans="1:39" ht="15.75" thickBot="1"/>
    <row r="5" spans="1:39" ht="60.75" customHeight="1" thickBot="1">
      <c r="A5" s="468" t="s">
        <v>1968</v>
      </c>
      <c r="B5" s="471" t="s">
        <v>1969</v>
      </c>
      <c r="C5" s="472"/>
      <c r="D5" s="472"/>
      <c r="E5" s="472"/>
      <c r="F5" s="472"/>
      <c r="G5" s="472"/>
      <c r="H5" s="472"/>
      <c r="I5" s="472"/>
      <c r="J5" s="472"/>
      <c r="K5" s="473"/>
      <c r="L5" s="474" t="s">
        <v>1970</v>
      </c>
      <c r="M5" s="475"/>
      <c r="N5" s="475"/>
      <c r="O5" s="475"/>
      <c r="P5" s="475"/>
      <c r="Q5" s="475"/>
      <c r="R5" s="476"/>
      <c r="S5" s="477" t="s">
        <v>1971</v>
      </c>
      <c r="T5" s="478"/>
      <c r="U5" s="478"/>
      <c r="V5" s="478"/>
      <c r="W5" s="477" t="s">
        <v>1972</v>
      </c>
      <c r="X5" s="478"/>
      <c r="Y5" s="478"/>
      <c r="Z5" s="478"/>
      <c r="AA5" s="478"/>
      <c r="AB5" s="478"/>
      <c r="AC5" s="479"/>
      <c r="AD5" s="477" t="s">
        <v>1973</v>
      </c>
      <c r="AE5" s="478"/>
      <c r="AF5" s="478"/>
      <c r="AG5" s="478"/>
      <c r="AH5" s="478"/>
      <c r="AI5" s="478"/>
      <c r="AJ5" s="478"/>
      <c r="AK5" s="479"/>
      <c r="AL5" s="468" t="s">
        <v>1974</v>
      </c>
      <c r="AM5" s="485" t="s">
        <v>1975</v>
      </c>
    </row>
    <row r="6" spans="1:39" ht="59.25" customHeight="1" thickBot="1">
      <c r="A6" s="469"/>
      <c r="B6" s="468" t="s">
        <v>1976</v>
      </c>
      <c r="C6" s="468" t="s">
        <v>1977</v>
      </c>
      <c r="D6" s="468" t="s">
        <v>1978</v>
      </c>
      <c r="E6" s="468" t="s">
        <v>1979</v>
      </c>
      <c r="F6" s="468" t="s">
        <v>1980</v>
      </c>
      <c r="G6" s="468" t="s">
        <v>1981</v>
      </c>
      <c r="H6" s="468" t="s">
        <v>1982</v>
      </c>
      <c r="I6" s="468" t="s">
        <v>1983</v>
      </c>
      <c r="J6" s="468" t="s">
        <v>1984</v>
      </c>
      <c r="K6" s="468" t="s">
        <v>1985</v>
      </c>
      <c r="L6" s="489" t="s">
        <v>30</v>
      </c>
      <c r="M6" s="491" t="s">
        <v>1986</v>
      </c>
      <c r="N6" s="492"/>
      <c r="O6" s="493"/>
      <c r="P6" s="483" t="s">
        <v>2024</v>
      </c>
      <c r="Q6" s="483" t="s">
        <v>2025</v>
      </c>
      <c r="R6" s="483" t="s">
        <v>1991</v>
      </c>
      <c r="S6" s="483" t="s">
        <v>2026</v>
      </c>
      <c r="T6" s="483" t="s">
        <v>2027</v>
      </c>
      <c r="U6" s="499" t="s">
        <v>2011</v>
      </c>
      <c r="V6" s="499" t="s">
        <v>1998</v>
      </c>
      <c r="W6" s="480"/>
      <c r="X6" s="481"/>
      <c r="Y6" s="481"/>
      <c r="Z6" s="481"/>
      <c r="AA6" s="481"/>
      <c r="AB6" s="481"/>
      <c r="AC6" s="482"/>
      <c r="AD6" s="480"/>
      <c r="AE6" s="481"/>
      <c r="AF6" s="481"/>
      <c r="AG6" s="481"/>
      <c r="AH6" s="481"/>
      <c r="AI6" s="481"/>
      <c r="AJ6" s="481"/>
      <c r="AK6" s="482"/>
      <c r="AL6" s="469"/>
      <c r="AM6" s="486"/>
    </row>
    <row r="7" spans="1:39" ht="68.25" customHeight="1" thickBot="1">
      <c r="A7" s="469"/>
      <c r="B7" s="469"/>
      <c r="C7" s="469"/>
      <c r="D7" s="469"/>
      <c r="E7" s="469"/>
      <c r="F7" s="469"/>
      <c r="G7" s="469"/>
      <c r="H7" s="469"/>
      <c r="I7" s="469"/>
      <c r="J7" s="469"/>
      <c r="K7" s="469"/>
      <c r="L7" s="490"/>
      <c r="M7" s="483" t="s">
        <v>2028</v>
      </c>
      <c r="N7" s="487" t="s">
        <v>2001</v>
      </c>
      <c r="O7" s="488"/>
      <c r="P7" s="484"/>
      <c r="Q7" s="484"/>
      <c r="R7" s="484"/>
      <c r="S7" s="484"/>
      <c r="T7" s="484"/>
      <c r="U7" s="484"/>
      <c r="V7" s="484"/>
      <c r="W7" s="494" t="s">
        <v>2002</v>
      </c>
      <c r="X7" s="492"/>
      <c r="Y7" s="492"/>
      <c r="Z7" s="492"/>
      <c r="AA7" s="492"/>
      <c r="AB7" s="493"/>
      <c r="AC7" s="483" t="s">
        <v>2003</v>
      </c>
      <c r="AD7" s="474" t="s">
        <v>2004</v>
      </c>
      <c r="AE7" s="475"/>
      <c r="AF7" s="475"/>
      <c r="AG7" s="476"/>
      <c r="AH7" s="474" t="s">
        <v>2005</v>
      </c>
      <c r="AI7" s="475"/>
      <c r="AJ7" s="475"/>
      <c r="AK7" s="476"/>
      <c r="AL7" s="469"/>
      <c r="AM7" s="486"/>
    </row>
    <row r="8" spans="1:39" ht="33.200000000000003" customHeight="1" thickBot="1">
      <c r="A8" s="469"/>
      <c r="B8" s="469"/>
      <c r="C8" s="469"/>
      <c r="D8" s="469"/>
      <c r="E8" s="469"/>
      <c r="F8" s="469"/>
      <c r="G8" s="469"/>
      <c r="H8" s="469"/>
      <c r="I8" s="469"/>
      <c r="J8" s="469"/>
      <c r="K8" s="469"/>
      <c r="L8" s="490"/>
      <c r="M8" s="484"/>
      <c r="N8" s="483" t="s">
        <v>2006</v>
      </c>
      <c r="O8" s="483" t="s">
        <v>2007</v>
      </c>
      <c r="P8" s="484"/>
      <c r="Q8" s="484"/>
      <c r="R8" s="484"/>
      <c r="S8" s="484"/>
      <c r="T8" s="484"/>
      <c r="U8" s="484"/>
      <c r="V8" s="500"/>
      <c r="W8" s="495" t="s">
        <v>2008</v>
      </c>
      <c r="X8" s="497" t="s">
        <v>2009</v>
      </c>
      <c r="Y8" s="498"/>
      <c r="Z8" s="484" t="s">
        <v>2010</v>
      </c>
      <c r="AA8" s="484" t="s">
        <v>2011</v>
      </c>
      <c r="AB8" s="484" t="s">
        <v>2012</v>
      </c>
      <c r="AC8" s="484"/>
      <c r="AD8" s="468" t="s">
        <v>2006</v>
      </c>
      <c r="AE8" s="468" t="s">
        <v>2013</v>
      </c>
      <c r="AF8" s="468" t="s">
        <v>2014</v>
      </c>
      <c r="AG8" s="468" t="s">
        <v>2015</v>
      </c>
      <c r="AH8" s="468" t="s">
        <v>2006</v>
      </c>
      <c r="AI8" s="468" t="s">
        <v>2013</v>
      </c>
      <c r="AJ8" s="468" t="s">
        <v>2014</v>
      </c>
      <c r="AK8" s="468" t="s">
        <v>2015</v>
      </c>
      <c r="AL8" s="469"/>
      <c r="AM8" s="486"/>
    </row>
    <row r="9" spans="1:39" ht="53.25" customHeight="1" thickBot="1">
      <c r="A9" s="470"/>
      <c r="B9" s="470"/>
      <c r="C9" s="470"/>
      <c r="D9" s="470"/>
      <c r="E9" s="470"/>
      <c r="F9" s="470"/>
      <c r="G9" s="470"/>
      <c r="H9" s="470"/>
      <c r="I9" s="470"/>
      <c r="J9" s="470"/>
      <c r="K9" s="470"/>
      <c r="L9" s="490"/>
      <c r="M9" s="484"/>
      <c r="N9" s="484"/>
      <c r="O9" s="484"/>
      <c r="P9" s="484"/>
      <c r="Q9" s="484"/>
      <c r="R9" s="484"/>
      <c r="S9" s="484"/>
      <c r="T9" s="484"/>
      <c r="U9" s="484"/>
      <c r="V9" s="500"/>
      <c r="W9" s="496"/>
      <c r="X9" s="225" t="s">
        <v>2016</v>
      </c>
      <c r="Y9" s="226" t="s">
        <v>2017</v>
      </c>
      <c r="Z9" s="484"/>
      <c r="AA9" s="484"/>
      <c r="AB9" s="484"/>
      <c r="AC9" s="484"/>
      <c r="AD9" s="469"/>
      <c r="AE9" s="469"/>
      <c r="AF9" s="469"/>
      <c r="AG9" s="469"/>
      <c r="AH9" s="469"/>
      <c r="AI9" s="469"/>
      <c r="AJ9" s="469"/>
      <c r="AK9" s="469"/>
      <c r="AL9" s="469"/>
      <c r="AM9" s="486"/>
    </row>
    <row r="10" spans="1:39" ht="15.75" thickBot="1">
      <c r="A10" s="227">
        <f>'За день'!A10</f>
        <v>45444</v>
      </c>
      <c r="B10" s="228">
        <f ca="1">'За день'!B10</f>
        <v>21</v>
      </c>
      <c r="C10" s="228">
        <f ca="1">'За день'!C10</f>
        <v>11</v>
      </c>
      <c r="D10" s="228" t="str">
        <f ca="1">'За день'!D10</f>
        <v/>
      </c>
      <c r="E10" s="228" t="str">
        <f ca="1">'За день'!E10</f>
        <v/>
      </c>
      <c r="F10" s="228" t="str">
        <f ca="1">'За день'!F10</f>
        <v/>
      </c>
      <c r="G10" s="228"/>
      <c r="H10" s="228" t="str">
        <f ca="1">'За день'!H10</f>
        <v/>
      </c>
      <c r="I10" s="229">
        <f ca="1">AppsAll(A10&lt;TODAY(),SUM('За день'!I10,'За день'!L10)-IF(L10="",0,L10))</f>
        <v>21</v>
      </c>
      <c r="J10" s="230"/>
      <c r="K10" s="231"/>
      <c r="L10" s="232" t="str">
        <f ca="1">AppsAll(A10&lt;TODAY(),SUM(M10,P10,Q10,R10))</f>
        <v/>
      </c>
      <c r="M10" s="233" t="str">
        <f ca="1">AppsAll($A10&lt;TODAY(),COUNTIFS(INDIRECT("'"&amp;DAY($A10)&amp;"'!$H$8:$H$27"),"&gt;0",INDIRECT("'"&amp;DAY($A10)&amp;"'!$D$8:$D$27"),"*так"))</f>
        <v/>
      </c>
      <c r="N10" s="163">
        <f ca="1">'За день'!O10</f>
        <v>8</v>
      </c>
      <c r="O10" s="154" t="str">
        <f ca="1">AppsAll($A10&lt;TODAY(),SUM(COUNTIFS(INDIRECT("'"&amp;DAY($A10)&amp;"'!$H$8:$H$27"),"&gt;0",INDIRECT("'"&amp;DAY($A10)&amp;"'!$B$8:$B$27"),"РДМ-2?",INDIRECT("'"&amp;DAY($A10)&amp;"'!$D$8:$D$27"),"*так"),COUNTIFS(INDIRECT("'"&amp;DAY($A10)&amp;"'!$H$8:$H$27"),"&gt;0",INDIRECT("'"&amp;DAY($A10)&amp;"'!$B$8:$B$27"),"УДС2-73",INDIRECT("'"&amp;DAY($A10)&amp;"'!$D$8:$D$27"),"*так")))</f>
        <v/>
      </c>
      <c r="P10" s="163" t="str">
        <f ca="1">AppsAll($A10&lt;TODAY(),COUNTIFS(INDIRECT("'"&amp;DAY($A10)&amp;"'!$J$28:$J$37"),"&gt;0",INDIRECT("'"&amp;DAY($A10)&amp;"'!$D$28:$D$37"),"*так"))</f>
        <v/>
      </c>
      <c r="Q10" s="153" t="str">
        <f ca="1">AppsAll($A10&lt;TODAY(),COUNTIFS(INDIRECT("'"&amp;DAY($A10)&amp;"'!$L$38:$L$47"),"&gt;0",INDIRECT("'"&amp;DAY($A10)&amp;"'!$D$38:$D$47"),"*так"))</f>
        <v/>
      </c>
      <c r="R10" s="154" t="str">
        <f ca="1">AppsAll($A10&lt;TODAY(),COUNTIFS(INDIRECT("'"&amp;DAY($A10)&amp;"'!$P$38:$P$47"),"&gt;0",INDIRECT("'"&amp;DAY($A10)&amp;"'!$D$38:$D$47"),"*так")-COUNTIFS(INDIRECT("'"&amp;DAY($A10)&amp;"'!$L$38:$L$47"),"&gt;0",INDIRECT("'"&amp;DAY($A10)&amp;"'!$D$38:$D$47"),"*так"))</f>
        <v/>
      </c>
      <c r="S10" s="165" t="str">
        <f ca="1">AppsAll($A10&lt;TODAY(),INDIRECT("'"&amp;DAY($A10)&amp;"'!$H$49"))</f>
        <v/>
      </c>
      <c r="T10" s="153" t="str">
        <f ca="1">AppsAll($A10&lt;TODAY(),INDIRECT("'"&amp;DAY($A10)&amp;"'!$J$49"))</f>
        <v/>
      </c>
      <c r="U10" s="153" t="str">
        <f ca="1">AppsAll($A10&lt;TODAY(),INDIRECT("'"&amp;DAY($A10)&amp;"'!$L$49"))</f>
        <v/>
      </c>
      <c r="V10" s="154" t="str">
        <f ca="1">AppsAll($A10&lt;TODAY(),INDIRECT("'"&amp;DAY($A10)&amp;"'!$M$49"))</f>
        <v/>
      </c>
      <c r="W10" s="170" t="str">
        <f ca="1">AppsAll($A10&lt;TODAY(),INDIRECT("'"&amp;DAY($A10)&amp;"'!$O$49"))</f>
        <v/>
      </c>
      <c r="X10" s="163"/>
      <c r="Y10" s="154"/>
      <c r="Z10" s="163"/>
      <c r="AA10" s="153"/>
      <c r="AB10" s="154"/>
      <c r="AC10" s="164" t="str">
        <f ca="1">AppsAll($A10&lt;TODAY(),INDIRECT("'"&amp;DAY($A10)&amp;"'!$N$49"))</f>
        <v/>
      </c>
      <c r="AD10" s="234">
        <f ca="1">AppsAll($A10&lt;TODAY(),'За день'!AJ10)</f>
        <v>380</v>
      </c>
      <c r="AE10" s="235" t="str">
        <f ca="1">AppsAll($A10&lt;TODAY(),'За день'!AK10)</f>
        <v/>
      </c>
      <c r="AF10" s="236" t="str">
        <f ca="1">AppsAll($A10&lt;TODAY(),'За день'!AL10)</f>
        <v/>
      </c>
      <c r="AG10" s="237">
        <f ca="1">AppsAll($A10&lt;TODAY(),'За день'!AM10)</f>
        <v>380</v>
      </c>
      <c r="AH10" s="234">
        <f ca="1">AppsAll($A10&lt;TODAY(),'За день'!AN10)</f>
        <v>3</v>
      </c>
      <c r="AI10" s="235" t="str">
        <f ca="1">AppsAll($A10&lt;TODAY(),'За день'!AO10)</f>
        <v/>
      </c>
      <c r="AJ10" s="236" t="str">
        <f ca="1">AppsAll($A10&lt;TODAY(),'За день'!AP10)</f>
        <v/>
      </c>
      <c r="AK10" s="237">
        <f ca="1">AppsAll($A10&lt;TODAY(),'За день'!AQ10)</f>
        <v>3</v>
      </c>
      <c r="AL10" s="238">
        <f>'За день'!AR10</f>
        <v>0</v>
      </c>
      <c r="AM10" s="239" t="str">
        <f ca="1">'За день'!AS10</f>
        <v/>
      </c>
    </row>
    <row r="11" spans="1:39" ht="15.75" thickBot="1">
      <c r="A11" s="240">
        <f>'За день'!A11</f>
        <v>45445</v>
      </c>
      <c r="B11" s="241">
        <f ca="1">'За день'!B11</f>
        <v>21</v>
      </c>
      <c r="C11" s="241">
        <f ca="1">'За день'!C11</f>
        <v>11</v>
      </c>
      <c r="D11" s="241" t="str">
        <f ca="1">'За день'!D11</f>
        <v/>
      </c>
      <c r="E11" s="241" t="str">
        <f ca="1">'За день'!E11</f>
        <v/>
      </c>
      <c r="F11" s="241" t="str">
        <f ca="1">'За день'!F11</f>
        <v/>
      </c>
      <c r="G11" s="241"/>
      <c r="H11" s="241" t="str">
        <f ca="1">'За день'!H11</f>
        <v/>
      </c>
      <c r="I11" s="242">
        <f ca="1">AppsAll(A11&lt;TODAY(),SUM('За день'!I11,'За день'!L11)-IF(L11="",0,L11))</f>
        <v>20</v>
      </c>
      <c r="J11" s="242"/>
      <c r="K11" s="243"/>
      <c r="L11" s="232">
        <f t="shared" ref="L11:L40" ca="1" si="0">AppsAll(A11&lt;TODAY(),SUM(M11,P11,Q11,R11))</f>
        <v>1</v>
      </c>
      <c r="M11" s="244" t="str">
        <f t="shared" ref="M11:M40" ca="1" si="1">AppsAll($A11&lt;TODAY(),COUNTIFS(INDIRECT("'"&amp;DAY($A11)&amp;"'!$H$8:$H$27"),"&gt;0",INDIRECT("'"&amp;DAY($A11)&amp;"'!$D$8:$D$27"),"*так"))</f>
        <v/>
      </c>
      <c r="N11" s="245">
        <f ca="1">'За день'!O11</f>
        <v>8</v>
      </c>
      <c r="O11" s="246" t="str">
        <f t="shared" ref="O11:O40" ca="1" si="2">AppsAll($A11&lt;TODAY(),SUM(COUNTIFS(INDIRECT("'"&amp;DAY($A11)&amp;"'!$H$8:$H$27"),"&gt;0",INDIRECT("'"&amp;DAY($A11)&amp;"'!$B$8:$B$27"),"РДМ-2?",INDIRECT("'"&amp;DAY($A11)&amp;"'!$D$8:$D$27"),"*так"),COUNTIFS(INDIRECT("'"&amp;DAY($A11)&amp;"'!$H$8:$H$27"),"&gt;0",INDIRECT("'"&amp;DAY($A11)&amp;"'!$B$8:$B$27"),"УДС2-73",INDIRECT("'"&amp;DAY($A11)&amp;"'!$D$8:$D$27"),"*так")))</f>
        <v/>
      </c>
      <c r="P11" s="245" t="str">
        <f t="shared" ref="P11:P40" ca="1" si="3">AppsAll($A11&lt;TODAY(),COUNTIFS(INDIRECT("'"&amp;DAY($A11)&amp;"'!$J$28:$J$37"),"&gt;0",INDIRECT("'"&amp;DAY($A11)&amp;"'!$D$28:$D$37"),"*так"))</f>
        <v/>
      </c>
      <c r="Q11" s="247">
        <f t="shared" ref="Q11:Q40" ca="1" si="4">AppsAll($A11&lt;TODAY(),COUNTIFS(INDIRECT("'"&amp;DAY($A11)&amp;"'!$L$38:$L$47"),"&gt;0",INDIRECT("'"&amp;DAY($A11)&amp;"'!$D$38:$D$47"),"*так"))</f>
        <v>1</v>
      </c>
      <c r="R11" s="246" t="str">
        <f t="shared" ref="R11:R40" ca="1" si="5">AppsAll($A11&lt;TODAY(),COUNTIFS(INDIRECT("'"&amp;DAY($A11)&amp;"'!$P$38:$P$47"),"&gt;0",INDIRECT("'"&amp;DAY($A11)&amp;"'!$D$38:$D$47"),"*так")-COUNTIFS(INDIRECT("'"&amp;DAY($A11)&amp;"'!$L$38:$L$47"),"&gt;0",INDIRECT("'"&amp;DAY($A11)&amp;"'!$D$38:$D$47"),"*так"))</f>
        <v/>
      </c>
      <c r="S11" s="248" t="str">
        <f t="shared" ref="S11:S40" ca="1" si="6">AppsAll($A11&lt;TODAY(),INDIRECT("'"&amp;DAY($A11)&amp;"'!$H$49"))</f>
        <v/>
      </c>
      <c r="T11" s="247" t="str">
        <f t="shared" ref="T11:T40" ca="1" si="7">AppsAll($A11&lt;TODAY(),INDIRECT("'"&amp;DAY($A11)&amp;"'!$J$49"))</f>
        <v/>
      </c>
      <c r="U11" s="247">
        <f t="shared" ref="U11:U40" ca="1" si="8">AppsAll($A11&lt;TODAY(),INDIRECT("'"&amp;DAY($A11)&amp;"'!$L$49"))</f>
        <v>12</v>
      </c>
      <c r="V11" s="246" t="str">
        <f t="shared" ref="V11:V40" ca="1" si="9">AppsAll($A11&lt;TODAY(),INDIRECT("'"&amp;DAY($A11)&amp;"'!$M$49"))</f>
        <v/>
      </c>
      <c r="W11" s="170" t="str">
        <f t="shared" ref="W11:W40" ca="1" si="10">AppsAll($A11&lt;TODAY(),INDIRECT("'"&amp;DAY($A11)&amp;"'!$O$49"))</f>
        <v/>
      </c>
      <c r="X11" s="245"/>
      <c r="Y11" s="246"/>
      <c r="Z11" s="245"/>
      <c r="AA11" s="247"/>
      <c r="AB11" s="246"/>
      <c r="AC11" s="249" t="str">
        <f t="shared" ref="AC11:AC40" ca="1" si="11">AppsAll($A11&lt;TODAY(),INDIRECT("'"&amp;DAY($A11)&amp;"'!$N$49"))</f>
        <v/>
      </c>
      <c r="AD11" s="250">
        <f ca="1">AppsAll($A11&lt;TODAY(),'За день'!AJ11)</f>
        <v>380</v>
      </c>
      <c r="AE11" s="251" t="str">
        <f ca="1">AppsAll($A11&lt;TODAY(),'За день'!AK11)</f>
        <v/>
      </c>
      <c r="AF11" s="252" t="str">
        <f ca="1">AppsAll($A11&lt;TODAY(),'За день'!AL11)</f>
        <v/>
      </c>
      <c r="AG11" s="237">
        <f ca="1">AppsAll($A11&lt;TODAY(),'За день'!AM11)</f>
        <v>380</v>
      </c>
      <c r="AH11" s="250">
        <f ca="1">AppsAll($A11&lt;TODAY(),'За день'!AN11)</f>
        <v>3</v>
      </c>
      <c r="AI11" s="251" t="str">
        <f ca="1">AppsAll($A11&lt;TODAY(),'За день'!AO11)</f>
        <v/>
      </c>
      <c r="AJ11" s="252">
        <f ca="1">AppsAll($A11&lt;TODAY(),'За день'!AP11)</f>
        <v>2</v>
      </c>
      <c r="AK11" s="237">
        <f ca="1">AppsAll($A11&lt;TODAY(),'За день'!AQ11)</f>
        <v>1</v>
      </c>
      <c r="AL11" s="253">
        <f>'За день'!AR11</f>
        <v>23</v>
      </c>
      <c r="AM11" s="239" t="str">
        <f ca="1">'За день'!AS11</f>
        <v/>
      </c>
    </row>
    <row r="12" spans="1:39" ht="15.75" thickBot="1">
      <c r="A12" s="240">
        <f>'За день'!A12</f>
        <v>45446</v>
      </c>
      <c r="B12" s="241">
        <f ca="1">'За день'!B12</f>
        <v>21</v>
      </c>
      <c r="C12" s="241">
        <f ca="1">'За день'!C12</f>
        <v>11</v>
      </c>
      <c r="D12" s="241">
        <f ca="1">'За день'!D12</f>
        <v>7</v>
      </c>
      <c r="E12" s="241">
        <f ca="1">'За день'!E12</f>
        <v>3</v>
      </c>
      <c r="F12" s="241">
        <f ca="1">'За день'!F12</f>
        <v>5</v>
      </c>
      <c r="G12" s="241"/>
      <c r="H12" s="241" t="str">
        <f ca="1">'За день'!H12</f>
        <v/>
      </c>
      <c r="I12" s="242">
        <f ca="1">AppsAll(A12&lt;TODAY(),SUM('За день'!I12,'За день'!L12)-IF(L12="",0,L12))</f>
        <v>2</v>
      </c>
      <c r="J12" s="254"/>
      <c r="K12" s="255"/>
      <c r="L12" s="232">
        <f t="shared" ca="1" si="0"/>
        <v>4</v>
      </c>
      <c r="M12" s="244">
        <f t="shared" ca="1" si="1"/>
        <v>3</v>
      </c>
      <c r="N12" s="181">
        <f ca="1">'За день'!O12</f>
        <v>8</v>
      </c>
      <c r="O12" s="174">
        <f t="shared" ca="1" si="2"/>
        <v>2</v>
      </c>
      <c r="P12" s="181" t="str">
        <f t="shared" ca="1" si="3"/>
        <v/>
      </c>
      <c r="Q12" s="173">
        <f t="shared" ca="1" si="4"/>
        <v>1</v>
      </c>
      <c r="R12" s="174" t="str">
        <f t="shared" ca="1" si="5"/>
        <v/>
      </c>
      <c r="S12" s="186">
        <f t="shared" ca="1" si="6"/>
        <v>15.7</v>
      </c>
      <c r="T12" s="173">
        <f t="shared" ca="1" si="7"/>
        <v>21</v>
      </c>
      <c r="U12" s="173">
        <f t="shared" ca="1" si="8"/>
        <v>4</v>
      </c>
      <c r="V12" s="174">
        <f t="shared" ca="1" si="9"/>
        <v>1</v>
      </c>
      <c r="W12" s="170" t="str">
        <f t="shared" ca="1" si="10"/>
        <v/>
      </c>
      <c r="X12" s="181"/>
      <c r="Y12" s="174"/>
      <c r="Z12" s="181"/>
      <c r="AA12" s="173"/>
      <c r="AB12" s="174"/>
      <c r="AC12" s="182" t="str">
        <f t="shared" ca="1" si="11"/>
        <v/>
      </c>
      <c r="AD12" s="250">
        <f ca="1">AppsAll($A12&lt;TODAY(),'За день'!AJ12)</f>
        <v>380</v>
      </c>
      <c r="AE12" s="251" t="str">
        <f ca="1">AppsAll($A12&lt;TODAY(),'За день'!AK12)</f>
        <v/>
      </c>
      <c r="AF12" s="252" t="str">
        <f ca="1">AppsAll($A12&lt;TODAY(),'За день'!AL12)</f>
        <v/>
      </c>
      <c r="AG12" s="237">
        <f ca="1">AppsAll($A12&lt;TODAY(),'За день'!AM12)</f>
        <v>380</v>
      </c>
      <c r="AH12" s="250">
        <f ca="1">AppsAll($A12&lt;TODAY(),'За день'!AN12)</f>
        <v>1</v>
      </c>
      <c r="AI12" s="251" t="str">
        <f ca="1">AppsAll($A12&lt;TODAY(),'За день'!AO12)</f>
        <v/>
      </c>
      <c r="AJ12" s="252" t="str">
        <f ca="1">AppsAll($A12&lt;TODAY(),'За день'!AP12)</f>
        <v/>
      </c>
      <c r="AK12" s="237">
        <f ca="1">AppsAll($A12&lt;TODAY(),'За день'!AQ12)</f>
        <v>1</v>
      </c>
      <c r="AL12" s="253">
        <f>'За день'!AR12</f>
        <v>25</v>
      </c>
      <c r="AM12" s="239" t="str">
        <f ca="1">'За день'!AS12</f>
        <v/>
      </c>
    </row>
    <row r="13" spans="1:39" ht="15.75" thickBot="1">
      <c r="A13" s="240">
        <f>'За день'!A13</f>
        <v>45447</v>
      </c>
      <c r="B13" s="241">
        <f ca="1">'За день'!B13</f>
        <v>21</v>
      </c>
      <c r="C13" s="241">
        <f ca="1">'За день'!C13</f>
        <v>11</v>
      </c>
      <c r="D13" s="241">
        <f ca="1">'За день'!D13</f>
        <v>6</v>
      </c>
      <c r="E13" s="241">
        <f ca="1">'За день'!E13</f>
        <v>3</v>
      </c>
      <c r="F13" s="241">
        <f ca="1">'За день'!F13</f>
        <v>5</v>
      </c>
      <c r="G13" s="241"/>
      <c r="H13" s="241" t="str">
        <f ca="1">'За день'!H13</f>
        <v/>
      </c>
      <c r="I13" s="242">
        <f ca="1">AppsAll(A13&lt;TODAY(),SUM('За день'!I13,'За день'!L13)-IF(L13="",0,L13))</f>
        <v>4</v>
      </c>
      <c r="J13" s="242"/>
      <c r="K13" s="243"/>
      <c r="L13" s="232">
        <f t="shared" ca="1" si="0"/>
        <v>3</v>
      </c>
      <c r="M13" s="244">
        <f t="shared" ca="1" si="1"/>
        <v>2</v>
      </c>
      <c r="N13" s="245">
        <f ca="1">'За день'!O13</f>
        <v>8</v>
      </c>
      <c r="O13" s="246">
        <f t="shared" ca="1" si="2"/>
        <v>1</v>
      </c>
      <c r="P13" s="245" t="str">
        <f t="shared" ca="1" si="3"/>
        <v/>
      </c>
      <c r="Q13" s="247">
        <f t="shared" ca="1" si="4"/>
        <v>1</v>
      </c>
      <c r="R13" s="246" t="str">
        <f t="shared" ca="1" si="5"/>
        <v/>
      </c>
      <c r="S13" s="248">
        <f t="shared" ca="1" si="6"/>
        <v>12.1</v>
      </c>
      <c r="T13" s="247">
        <f t="shared" ca="1" si="7"/>
        <v>12</v>
      </c>
      <c r="U13" s="247">
        <f t="shared" ca="1" si="8"/>
        <v>9</v>
      </c>
      <c r="V13" s="246">
        <f t="shared" ca="1" si="9"/>
        <v>5</v>
      </c>
      <c r="W13" s="170" t="str">
        <f t="shared" ca="1" si="10"/>
        <v/>
      </c>
      <c r="X13" s="245"/>
      <c r="Y13" s="246"/>
      <c r="Z13" s="245"/>
      <c r="AA13" s="247"/>
      <c r="AB13" s="246"/>
      <c r="AC13" s="249" t="str">
        <f t="shared" ca="1" si="11"/>
        <v/>
      </c>
      <c r="AD13" s="250">
        <f ca="1">AppsAll($A13&lt;TODAY(),'За день'!AJ13)</f>
        <v>380</v>
      </c>
      <c r="AE13" s="251" t="str">
        <f ca="1">AppsAll($A13&lt;TODAY(),'За день'!AK13)</f>
        <v/>
      </c>
      <c r="AF13" s="252" t="str">
        <f ca="1">AppsAll($A13&lt;TODAY(),'За день'!AL13)</f>
        <v/>
      </c>
      <c r="AG13" s="237">
        <f ca="1">AppsAll($A13&lt;TODAY(),'За день'!AM13)</f>
        <v>380</v>
      </c>
      <c r="AH13" s="250">
        <f ca="1">AppsAll($A13&lt;TODAY(),'За день'!AN13)</f>
        <v>1</v>
      </c>
      <c r="AI13" s="251">
        <f ca="1">AppsAll($A13&lt;TODAY(),'За день'!AO13)</f>
        <v>20</v>
      </c>
      <c r="AJ13" s="252">
        <f ca="1">AppsAll($A13&lt;TODAY(),'За день'!AP13)</f>
        <v>1</v>
      </c>
      <c r="AK13" s="237">
        <f ca="1">AppsAll($A13&lt;TODAY(),'За день'!AQ13)</f>
        <v>20</v>
      </c>
      <c r="AL13" s="253">
        <f>'За день'!AR13</f>
        <v>28</v>
      </c>
      <c r="AM13" s="239" t="str">
        <f ca="1">'За день'!AS13</f>
        <v/>
      </c>
    </row>
    <row r="14" spans="1:39" ht="15.75" thickBot="1">
      <c r="A14" s="240">
        <f>'За день'!A14</f>
        <v>45448</v>
      </c>
      <c r="B14" s="241">
        <f ca="1">'За день'!B14</f>
        <v>21</v>
      </c>
      <c r="C14" s="241">
        <f ca="1">'За день'!C14</f>
        <v>11</v>
      </c>
      <c r="D14" s="241">
        <f ca="1">'За день'!D14</f>
        <v>6</v>
      </c>
      <c r="E14" s="241">
        <f ca="1">'За день'!E14</f>
        <v>3</v>
      </c>
      <c r="F14" s="241">
        <f ca="1">'За день'!F14</f>
        <v>5</v>
      </c>
      <c r="G14" s="241"/>
      <c r="H14" s="241">
        <f ca="1">'За день'!H14</f>
        <v>2</v>
      </c>
      <c r="I14" s="242">
        <f ca="1">AppsAll(A14&lt;TODAY(),SUM('За день'!I14,'За день'!L14)-IF(L14="",0,L14))</f>
        <v>2</v>
      </c>
      <c r="J14" s="242"/>
      <c r="K14" s="243"/>
      <c r="L14" s="232">
        <f t="shared" ca="1" si="0"/>
        <v>3</v>
      </c>
      <c r="M14" s="244">
        <f t="shared" ca="1" si="1"/>
        <v>1</v>
      </c>
      <c r="N14" s="245">
        <f ca="1">'За день'!O14</f>
        <v>8</v>
      </c>
      <c r="O14" s="246">
        <f t="shared" ca="1" si="2"/>
        <v>1</v>
      </c>
      <c r="P14" s="245">
        <f t="shared" ca="1" si="3"/>
        <v>1</v>
      </c>
      <c r="Q14" s="247">
        <f t="shared" ca="1" si="4"/>
        <v>1</v>
      </c>
      <c r="R14" s="246" t="str">
        <f t="shared" ca="1" si="5"/>
        <v/>
      </c>
      <c r="S14" s="248">
        <f t="shared" ca="1" si="6"/>
        <v>6.2</v>
      </c>
      <c r="T14" s="247">
        <f t="shared" ca="1" si="7"/>
        <v>16</v>
      </c>
      <c r="U14" s="247">
        <f t="shared" ca="1" si="8"/>
        <v>6</v>
      </c>
      <c r="V14" s="246" t="str">
        <f t="shared" ca="1" si="9"/>
        <v/>
      </c>
      <c r="W14" s="170" t="str">
        <f t="shared" ca="1" si="10"/>
        <v/>
      </c>
      <c r="X14" s="245"/>
      <c r="Y14" s="246"/>
      <c r="Z14" s="245"/>
      <c r="AA14" s="247"/>
      <c r="AB14" s="246"/>
      <c r="AC14" s="249" t="str">
        <f t="shared" ca="1" si="11"/>
        <v/>
      </c>
      <c r="AD14" s="250">
        <f ca="1">AppsAll($A14&lt;TODAY(),'За день'!AJ14)</f>
        <v>380</v>
      </c>
      <c r="AE14" s="251" t="str">
        <f ca="1">AppsAll($A14&lt;TODAY(),'За день'!AK14)</f>
        <v/>
      </c>
      <c r="AF14" s="252" t="str">
        <f ca="1">AppsAll($A14&lt;TODAY(),'За день'!AL14)</f>
        <v/>
      </c>
      <c r="AG14" s="237">
        <f ca="1">AppsAll($A14&lt;TODAY(),'За день'!AM14)</f>
        <v>380</v>
      </c>
      <c r="AH14" s="250">
        <f ca="1">AppsAll($A14&lt;TODAY(),'За день'!AN14)</f>
        <v>20</v>
      </c>
      <c r="AI14" s="251" t="str">
        <f ca="1">AppsAll($A14&lt;TODAY(),'За день'!AO14)</f>
        <v/>
      </c>
      <c r="AJ14" s="252">
        <f ca="1">AppsAll($A14&lt;TODAY(),'За день'!AP14)</f>
        <v>1</v>
      </c>
      <c r="AK14" s="237">
        <f ca="1">AppsAll($A14&lt;TODAY(),'За день'!AQ14)</f>
        <v>19</v>
      </c>
      <c r="AL14" s="253">
        <f>'За день'!AR14</f>
        <v>30</v>
      </c>
      <c r="AM14" s="239" t="str">
        <f ca="1">'За день'!AS14</f>
        <v/>
      </c>
    </row>
    <row r="15" spans="1:39" ht="15.75" thickBot="1">
      <c r="A15" s="240">
        <f>'За день'!A15</f>
        <v>45449</v>
      </c>
      <c r="B15" s="241">
        <f ca="1">'За день'!B15</f>
        <v>21</v>
      </c>
      <c r="C15" s="241">
        <f ca="1">'За день'!C15</f>
        <v>11</v>
      </c>
      <c r="D15" s="241">
        <f ca="1">'За день'!D15</f>
        <v>7</v>
      </c>
      <c r="E15" s="241">
        <f ca="1">'За день'!E15</f>
        <v>3</v>
      </c>
      <c r="F15" s="241">
        <f ca="1">'За день'!F15</f>
        <v>5</v>
      </c>
      <c r="G15" s="241"/>
      <c r="H15" s="241" t="str">
        <f ca="1">'За день'!H15</f>
        <v/>
      </c>
      <c r="I15" s="242">
        <f ca="1">AppsAll(A15&lt;TODAY(),SUM('За день'!I15,'За день'!L15)-IF(L15="",0,L15))</f>
        <v>3</v>
      </c>
      <c r="J15" s="242"/>
      <c r="K15" s="243"/>
      <c r="L15" s="232">
        <f t="shared" ca="1" si="0"/>
        <v>3</v>
      </c>
      <c r="M15" s="244">
        <f t="shared" ca="1" si="1"/>
        <v>2</v>
      </c>
      <c r="N15" s="245">
        <f ca="1">'За день'!O15</f>
        <v>8</v>
      </c>
      <c r="O15" s="246">
        <f t="shared" ca="1" si="2"/>
        <v>1</v>
      </c>
      <c r="P15" s="245" t="str">
        <f t="shared" ca="1" si="3"/>
        <v/>
      </c>
      <c r="Q15" s="247">
        <f t="shared" ca="1" si="4"/>
        <v>1</v>
      </c>
      <c r="R15" s="246" t="str">
        <f t="shared" ca="1" si="5"/>
        <v/>
      </c>
      <c r="S15" s="248">
        <f t="shared" ca="1" si="6"/>
        <v>17.600000000000001</v>
      </c>
      <c r="T15" s="247">
        <f t="shared" ca="1" si="7"/>
        <v>8</v>
      </c>
      <c r="U15" s="247">
        <f t="shared" ca="1" si="8"/>
        <v>13</v>
      </c>
      <c r="V15" s="246">
        <f t="shared" ca="1" si="9"/>
        <v>2</v>
      </c>
      <c r="W15" s="170" t="str">
        <f t="shared" ca="1" si="10"/>
        <v/>
      </c>
      <c r="X15" s="245"/>
      <c r="Y15" s="246"/>
      <c r="Z15" s="245"/>
      <c r="AA15" s="247"/>
      <c r="AB15" s="246"/>
      <c r="AC15" s="249" t="str">
        <f t="shared" ca="1" si="11"/>
        <v/>
      </c>
      <c r="AD15" s="250">
        <f ca="1">AppsAll($A15&lt;TODAY(),'За день'!AJ15)</f>
        <v>380</v>
      </c>
      <c r="AE15" s="251" t="str">
        <f ca="1">AppsAll($A15&lt;TODAY(),'За день'!AK15)</f>
        <v/>
      </c>
      <c r="AF15" s="252" t="str">
        <f ca="1">AppsAll($A15&lt;TODAY(),'За день'!AL15)</f>
        <v/>
      </c>
      <c r="AG15" s="237">
        <f ca="1">AppsAll($A15&lt;TODAY(),'За день'!AM15)</f>
        <v>380</v>
      </c>
      <c r="AH15" s="250">
        <f ca="1">AppsAll($A15&lt;TODAY(),'За день'!AN15)</f>
        <v>19</v>
      </c>
      <c r="AI15" s="251" t="str">
        <f ca="1">AppsAll($A15&lt;TODAY(),'За день'!AO15)</f>
        <v/>
      </c>
      <c r="AJ15" s="252">
        <f ca="1">AppsAll($A15&lt;TODAY(),'За день'!AP15)</f>
        <v>1</v>
      </c>
      <c r="AK15" s="237">
        <f ca="1">AppsAll($A15&lt;TODAY(),'За день'!AQ15)</f>
        <v>18</v>
      </c>
      <c r="AL15" s="253">
        <f>'За день'!AR15</f>
        <v>30</v>
      </c>
      <c r="AM15" s="239" t="str">
        <f ca="1">'За день'!AS15</f>
        <v/>
      </c>
    </row>
    <row r="16" spans="1:39" ht="15.75" thickBot="1">
      <c r="A16" s="240">
        <f>'За день'!A16</f>
        <v>45450</v>
      </c>
      <c r="B16" s="241">
        <f ca="1">'За день'!B16</f>
        <v>21</v>
      </c>
      <c r="C16" s="241">
        <f ca="1">'За день'!C16</f>
        <v>11</v>
      </c>
      <c r="D16" s="241">
        <f ca="1">'За день'!D16</f>
        <v>6</v>
      </c>
      <c r="E16" s="241">
        <f ca="1">'За день'!E16</f>
        <v>3</v>
      </c>
      <c r="F16" s="241">
        <f ca="1">'За день'!F16</f>
        <v>5</v>
      </c>
      <c r="G16" s="241"/>
      <c r="H16" s="241" t="str">
        <f ca="1">'За день'!H16</f>
        <v/>
      </c>
      <c r="I16" s="242">
        <f ca="1">AppsAll(A16&lt;TODAY(),SUM('За день'!I16,'За день'!L16)-IF(L16="",0,L16))</f>
        <v>3</v>
      </c>
      <c r="J16" s="242"/>
      <c r="K16" s="243"/>
      <c r="L16" s="232">
        <f t="shared" ca="1" si="0"/>
        <v>4</v>
      </c>
      <c r="M16" s="244">
        <f t="shared" ca="1" si="1"/>
        <v>2</v>
      </c>
      <c r="N16" s="245">
        <f ca="1">'За день'!O16</f>
        <v>8</v>
      </c>
      <c r="O16" s="246">
        <f t="shared" ca="1" si="2"/>
        <v>1</v>
      </c>
      <c r="P16" s="245" t="str">
        <f t="shared" ca="1" si="3"/>
        <v/>
      </c>
      <c r="Q16" s="247">
        <f t="shared" ca="1" si="4"/>
        <v>2</v>
      </c>
      <c r="R16" s="246" t="str">
        <f t="shared" ca="1" si="5"/>
        <v/>
      </c>
      <c r="S16" s="248">
        <f t="shared" ca="1" si="6"/>
        <v>10.399999999999999</v>
      </c>
      <c r="T16" s="247">
        <f t="shared" ca="1" si="7"/>
        <v>14</v>
      </c>
      <c r="U16" s="247">
        <f t="shared" ca="1" si="8"/>
        <v>15</v>
      </c>
      <c r="V16" s="246">
        <f t="shared" ca="1" si="9"/>
        <v>4</v>
      </c>
      <c r="W16" s="170" t="str">
        <f t="shared" ca="1" si="10"/>
        <v/>
      </c>
      <c r="X16" s="245"/>
      <c r="Y16" s="246"/>
      <c r="Z16" s="245"/>
      <c r="AA16" s="247"/>
      <c r="AB16" s="246"/>
      <c r="AC16" s="249" t="str">
        <f t="shared" ca="1" si="11"/>
        <v/>
      </c>
      <c r="AD16" s="250">
        <f ca="1">AppsAll($A16&lt;TODAY(),'За день'!AJ16)</f>
        <v>380</v>
      </c>
      <c r="AE16" s="251" t="str">
        <f ca="1">AppsAll($A16&lt;TODAY(),'За день'!AK16)</f>
        <v/>
      </c>
      <c r="AF16" s="252" t="str">
        <f ca="1">AppsAll($A16&lt;TODAY(),'За день'!AL16)</f>
        <v/>
      </c>
      <c r="AG16" s="237">
        <f ca="1">AppsAll($A16&lt;TODAY(),'За день'!AM16)</f>
        <v>380</v>
      </c>
      <c r="AH16" s="250">
        <f ca="1">AppsAll($A16&lt;TODAY(),'За день'!AN16)</f>
        <v>18</v>
      </c>
      <c r="AI16" s="251" t="str">
        <f ca="1">AppsAll($A16&lt;TODAY(),'За день'!AO16)</f>
        <v/>
      </c>
      <c r="AJ16" s="252">
        <f ca="1">AppsAll($A16&lt;TODAY(),'За день'!AP16)</f>
        <v>2</v>
      </c>
      <c r="AK16" s="237">
        <f ca="1">AppsAll($A16&lt;TODAY(),'За день'!AQ16)</f>
        <v>16</v>
      </c>
      <c r="AL16" s="253">
        <f>'За день'!AR16</f>
        <v>30</v>
      </c>
      <c r="AM16" s="239" t="str">
        <f ca="1">'За день'!AS16</f>
        <v/>
      </c>
    </row>
    <row r="17" spans="1:39" ht="15.75" thickBot="1">
      <c r="A17" s="240">
        <f>'За день'!A17</f>
        <v>45451</v>
      </c>
      <c r="B17" s="241">
        <f ca="1">'За день'!B17</f>
        <v>21</v>
      </c>
      <c r="C17" s="241">
        <f ca="1">'За день'!C17</f>
        <v>11</v>
      </c>
      <c r="D17" s="241" t="str">
        <f ca="1">'За день'!D17</f>
        <v/>
      </c>
      <c r="E17" s="241" t="str">
        <f ca="1">'За день'!E17</f>
        <v/>
      </c>
      <c r="F17" s="241" t="str">
        <f ca="1">'За день'!F17</f>
        <v/>
      </c>
      <c r="G17" s="241"/>
      <c r="H17" s="241" t="str">
        <f ca="1">'За день'!H17</f>
        <v/>
      </c>
      <c r="I17" s="242">
        <f ca="1">AppsAll(A17&lt;TODAY(),SUM('За день'!I17,'За день'!L17)-IF(L17="",0,L17))</f>
        <v>20</v>
      </c>
      <c r="J17" s="242"/>
      <c r="K17" s="243"/>
      <c r="L17" s="232">
        <f t="shared" ca="1" si="0"/>
        <v>1</v>
      </c>
      <c r="M17" s="244" t="str">
        <f t="shared" ca="1" si="1"/>
        <v/>
      </c>
      <c r="N17" s="245">
        <f ca="1">'За день'!O17</f>
        <v>8</v>
      </c>
      <c r="O17" s="246" t="str">
        <f t="shared" ca="1" si="2"/>
        <v/>
      </c>
      <c r="P17" s="245" t="str">
        <f t="shared" ca="1" si="3"/>
        <v/>
      </c>
      <c r="Q17" s="247">
        <f t="shared" ca="1" si="4"/>
        <v>1</v>
      </c>
      <c r="R17" s="246" t="str">
        <f t="shared" ca="1" si="5"/>
        <v/>
      </c>
      <c r="S17" s="248" t="str">
        <f t="shared" ca="1" si="6"/>
        <v/>
      </c>
      <c r="T17" s="247" t="str">
        <f t="shared" ca="1" si="7"/>
        <v/>
      </c>
      <c r="U17" s="247">
        <f t="shared" ca="1" si="8"/>
        <v>5</v>
      </c>
      <c r="V17" s="246" t="str">
        <f t="shared" ca="1" si="9"/>
        <v/>
      </c>
      <c r="W17" s="170" t="str">
        <f t="shared" ca="1" si="10"/>
        <v/>
      </c>
      <c r="X17" s="245"/>
      <c r="Y17" s="246"/>
      <c r="Z17" s="245"/>
      <c r="AA17" s="247"/>
      <c r="AB17" s="246"/>
      <c r="AC17" s="249" t="str">
        <f t="shared" ca="1" si="11"/>
        <v/>
      </c>
      <c r="AD17" s="250">
        <f ca="1">AppsAll($A17&lt;TODAY(),'За день'!AJ17)</f>
        <v>380</v>
      </c>
      <c r="AE17" s="251" t="str">
        <f ca="1">AppsAll($A17&lt;TODAY(),'За день'!AK17)</f>
        <v/>
      </c>
      <c r="AF17" s="252" t="str">
        <f ca="1">AppsAll($A17&lt;TODAY(),'За день'!AL17)</f>
        <v/>
      </c>
      <c r="AG17" s="237">
        <f ca="1">AppsAll($A17&lt;TODAY(),'За день'!AM17)</f>
        <v>380</v>
      </c>
      <c r="AH17" s="250">
        <f ca="1">AppsAll($A17&lt;TODAY(),'За день'!AN17)</f>
        <v>16</v>
      </c>
      <c r="AI17" s="251" t="str">
        <f ca="1">AppsAll($A17&lt;TODAY(),'За день'!AO17)</f>
        <v/>
      </c>
      <c r="AJ17" s="252">
        <f ca="1">AppsAll($A17&lt;TODAY(),'За день'!AP17)</f>
        <v>1</v>
      </c>
      <c r="AK17" s="237">
        <f ca="1">AppsAll($A17&lt;TODAY(),'За день'!AQ17)</f>
        <v>15</v>
      </c>
      <c r="AL17" s="253">
        <f>'За день'!AR17</f>
        <v>25</v>
      </c>
      <c r="AM17" s="239" t="str">
        <f ca="1">'За день'!AS17</f>
        <v/>
      </c>
    </row>
    <row r="18" spans="1:39" ht="15.75" thickBot="1">
      <c r="A18" s="240">
        <f>'За день'!A18</f>
        <v>45452</v>
      </c>
      <c r="B18" s="241">
        <f ca="1">'За день'!B18</f>
        <v>21</v>
      </c>
      <c r="C18" s="241">
        <f ca="1">'За день'!C18</f>
        <v>11</v>
      </c>
      <c r="D18" s="241" t="str">
        <f ca="1">'За день'!D18</f>
        <v/>
      </c>
      <c r="E18" s="241" t="str">
        <f ca="1">'За день'!E18</f>
        <v/>
      </c>
      <c r="F18" s="241" t="str">
        <f ca="1">'За день'!F18</f>
        <v/>
      </c>
      <c r="G18" s="241"/>
      <c r="H18" s="241" t="str">
        <f ca="1">'За день'!H18</f>
        <v/>
      </c>
      <c r="I18" s="242">
        <f ca="1">AppsAll(A18&lt;TODAY(),SUM('За день'!I18,'За день'!L18)-IF(L18="",0,L18))</f>
        <v>21</v>
      </c>
      <c r="J18" s="242"/>
      <c r="K18" s="243"/>
      <c r="L18" s="232" t="str">
        <f t="shared" ca="1" si="0"/>
        <v/>
      </c>
      <c r="M18" s="244" t="str">
        <f t="shared" ca="1" si="1"/>
        <v/>
      </c>
      <c r="N18" s="245">
        <f ca="1">'За день'!O18</f>
        <v>8</v>
      </c>
      <c r="O18" s="246" t="str">
        <f t="shared" ca="1" si="2"/>
        <v/>
      </c>
      <c r="P18" s="245" t="str">
        <f t="shared" ca="1" si="3"/>
        <v/>
      </c>
      <c r="Q18" s="247" t="str">
        <f t="shared" ca="1" si="4"/>
        <v/>
      </c>
      <c r="R18" s="246" t="str">
        <f t="shared" ca="1" si="5"/>
        <v/>
      </c>
      <c r="S18" s="248" t="str">
        <f t="shared" ca="1" si="6"/>
        <v/>
      </c>
      <c r="T18" s="247" t="str">
        <f t="shared" ca="1" si="7"/>
        <v/>
      </c>
      <c r="U18" s="247" t="str">
        <f t="shared" ca="1" si="8"/>
        <v/>
      </c>
      <c r="V18" s="246" t="str">
        <f t="shared" ca="1" si="9"/>
        <v/>
      </c>
      <c r="W18" s="170" t="str">
        <f t="shared" ca="1" si="10"/>
        <v/>
      </c>
      <c r="X18" s="245"/>
      <c r="Y18" s="246"/>
      <c r="Z18" s="245"/>
      <c r="AA18" s="247"/>
      <c r="AB18" s="246"/>
      <c r="AC18" s="249" t="str">
        <f t="shared" ca="1" si="11"/>
        <v/>
      </c>
      <c r="AD18" s="250">
        <f ca="1">AppsAll($A18&lt;TODAY(),'За день'!AJ18)</f>
        <v>380</v>
      </c>
      <c r="AE18" s="251" t="str">
        <f ca="1">AppsAll($A18&lt;TODAY(),'За день'!AK18)</f>
        <v/>
      </c>
      <c r="AF18" s="252" t="str">
        <f ca="1">AppsAll($A18&lt;TODAY(),'За день'!AL18)</f>
        <v/>
      </c>
      <c r="AG18" s="237">
        <f ca="1">AppsAll($A18&lt;TODAY(),'За день'!AM18)</f>
        <v>380</v>
      </c>
      <c r="AH18" s="250">
        <f ca="1">AppsAll($A18&lt;TODAY(),'За день'!AN18)</f>
        <v>15</v>
      </c>
      <c r="AI18" s="251" t="str">
        <f ca="1">AppsAll($A18&lt;TODAY(),'За день'!AO18)</f>
        <v/>
      </c>
      <c r="AJ18" s="252">
        <f ca="1">AppsAll($A18&lt;TODAY(),'За день'!AP18)</f>
        <v>2</v>
      </c>
      <c r="AK18" s="237">
        <f ca="1">AppsAll($A18&lt;TODAY(),'За день'!AQ18)</f>
        <v>13</v>
      </c>
      <c r="AL18" s="253">
        <f>'За день'!AR18</f>
        <v>30</v>
      </c>
      <c r="AM18" s="239" t="str">
        <f ca="1">'За день'!AS18</f>
        <v/>
      </c>
    </row>
    <row r="19" spans="1:39" ht="15.75" thickBot="1">
      <c r="A19" s="240">
        <f>'За день'!A19</f>
        <v>45453</v>
      </c>
      <c r="B19" s="241">
        <f ca="1">'За день'!B19</f>
        <v>21</v>
      </c>
      <c r="C19" s="241">
        <f ca="1">'За день'!C19</f>
        <v>11</v>
      </c>
      <c r="D19" s="241">
        <f ca="1">'За день'!D19</f>
        <v>7</v>
      </c>
      <c r="E19" s="241">
        <f ca="1">'За день'!E19</f>
        <v>3</v>
      </c>
      <c r="F19" s="241">
        <f ca="1">'За день'!F19</f>
        <v>5</v>
      </c>
      <c r="G19" s="241"/>
      <c r="H19" s="241" t="str">
        <f ca="1">'За день'!H19</f>
        <v/>
      </c>
      <c r="I19" s="242">
        <f ca="1">AppsAll(A19&lt;TODAY(),SUM('За день'!I19,'За день'!L19)-IF(L19="",0,L19))</f>
        <v>4</v>
      </c>
      <c r="J19" s="242"/>
      <c r="K19" s="243"/>
      <c r="L19" s="232">
        <f t="shared" ca="1" si="0"/>
        <v>2</v>
      </c>
      <c r="M19" s="244">
        <f t="shared" ca="1" si="1"/>
        <v>1</v>
      </c>
      <c r="N19" s="245">
        <f ca="1">'За день'!O19</f>
        <v>8</v>
      </c>
      <c r="O19" s="246">
        <f t="shared" ca="1" si="2"/>
        <v>1</v>
      </c>
      <c r="P19" s="245" t="str">
        <f t="shared" ca="1" si="3"/>
        <v/>
      </c>
      <c r="Q19" s="247">
        <f t="shared" ca="1" si="4"/>
        <v>1</v>
      </c>
      <c r="R19" s="246" t="str">
        <f t="shared" ca="1" si="5"/>
        <v/>
      </c>
      <c r="S19" s="248">
        <f t="shared" ca="1" si="6"/>
        <v>4.0999999999999996</v>
      </c>
      <c r="T19" s="247">
        <f t="shared" ca="1" si="7"/>
        <v>1</v>
      </c>
      <c r="U19" s="247">
        <f t="shared" ca="1" si="8"/>
        <v>9</v>
      </c>
      <c r="V19" s="246" t="str">
        <f t="shared" ca="1" si="9"/>
        <v/>
      </c>
      <c r="W19" s="170" t="str">
        <f t="shared" ca="1" si="10"/>
        <v/>
      </c>
      <c r="X19" s="245"/>
      <c r="Y19" s="246"/>
      <c r="Z19" s="245"/>
      <c r="AA19" s="247"/>
      <c r="AB19" s="246"/>
      <c r="AC19" s="249" t="str">
        <f t="shared" ca="1" si="11"/>
        <v/>
      </c>
      <c r="AD19" s="250">
        <f ca="1">AppsAll($A19&lt;TODAY(),'За день'!AJ19)</f>
        <v>380</v>
      </c>
      <c r="AE19" s="251" t="str">
        <f ca="1">AppsAll($A19&lt;TODAY(),'За день'!AK19)</f>
        <v/>
      </c>
      <c r="AF19" s="252" t="str">
        <f ca="1">AppsAll($A19&lt;TODAY(),'За день'!AL19)</f>
        <v/>
      </c>
      <c r="AG19" s="237">
        <f ca="1">AppsAll($A19&lt;TODAY(),'За день'!AM19)</f>
        <v>380</v>
      </c>
      <c r="AH19" s="250">
        <f ca="1">AppsAll($A19&lt;TODAY(),'За день'!AN19)</f>
        <v>13</v>
      </c>
      <c r="AI19" s="251" t="str">
        <f ca="1">AppsAll($A19&lt;TODAY(),'За день'!AO19)</f>
        <v/>
      </c>
      <c r="AJ19" s="252">
        <v>2</v>
      </c>
      <c r="AK19" s="237">
        <v>11</v>
      </c>
      <c r="AL19" s="253">
        <v>30</v>
      </c>
      <c r="AM19" s="239" t="str">
        <f ca="1">'За день'!AS19</f>
        <v/>
      </c>
    </row>
    <row r="20" spans="1:39" ht="15.75" thickBot="1">
      <c r="A20" s="240">
        <f>'За день'!A20</f>
        <v>45454</v>
      </c>
      <c r="B20" s="241">
        <f ca="1">'За день'!B20</f>
        <v>21</v>
      </c>
      <c r="C20" s="241">
        <f ca="1">'За день'!C20</f>
        <v>11</v>
      </c>
      <c r="D20" s="241">
        <f ca="1">'За день'!D20</f>
        <v>6</v>
      </c>
      <c r="E20" s="241">
        <f ca="1">'За день'!E20</f>
        <v>3</v>
      </c>
      <c r="F20" s="241">
        <f ca="1">'За день'!F20</f>
        <v>5</v>
      </c>
      <c r="G20" s="241"/>
      <c r="H20" s="241" t="str">
        <f ca="1">'За день'!H20</f>
        <v/>
      </c>
      <c r="I20" s="242">
        <f ca="1">AppsAll(A20&lt;TODAY(),SUM('За день'!I20,'За день'!L20)-IF(L20="",0,L20))</f>
        <v>4</v>
      </c>
      <c r="J20" s="242"/>
      <c r="K20" s="243"/>
      <c r="L20" s="232">
        <f t="shared" ca="1" si="0"/>
        <v>3</v>
      </c>
      <c r="M20" s="244">
        <f t="shared" ca="1" si="1"/>
        <v>2</v>
      </c>
      <c r="N20" s="245">
        <f ca="1">'За день'!O20</f>
        <v>8</v>
      </c>
      <c r="O20" s="246">
        <f t="shared" ca="1" si="2"/>
        <v>2</v>
      </c>
      <c r="P20" s="245" t="str">
        <f t="shared" ca="1" si="3"/>
        <v/>
      </c>
      <c r="Q20" s="247">
        <f t="shared" ca="1" si="4"/>
        <v>1</v>
      </c>
      <c r="R20" s="246" t="str">
        <f t="shared" ca="1" si="5"/>
        <v/>
      </c>
      <c r="S20" s="248">
        <f t="shared" ca="1" si="6"/>
        <v>15.7</v>
      </c>
      <c r="T20" s="247">
        <f t="shared" ca="1" si="7"/>
        <v>9</v>
      </c>
      <c r="U20" s="247">
        <f t="shared" ca="1" si="8"/>
        <v>6</v>
      </c>
      <c r="V20" s="246" t="str">
        <f t="shared" ca="1" si="9"/>
        <v/>
      </c>
      <c r="W20" s="170" t="str">
        <f t="shared" ca="1" si="10"/>
        <v/>
      </c>
      <c r="X20" s="245"/>
      <c r="Y20" s="246"/>
      <c r="Z20" s="245"/>
      <c r="AA20" s="247"/>
      <c r="AB20" s="246"/>
      <c r="AC20" s="249" t="str">
        <f t="shared" ca="1" si="11"/>
        <v/>
      </c>
      <c r="AD20" s="250">
        <f ca="1">AppsAll($A20&lt;TODAY(),'За день'!AJ20)</f>
        <v>380</v>
      </c>
      <c r="AE20" s="251" t="str">
        <f ca="1">AppsAll($A20&lt;TODAY(),'За день'!AK20)</f>
        <v/>
      </c>
      <c r="AF20" s="252" t="str">
        <f ca="1">AppsAll($A20&lt;TODAY(),'За день'!AL20)</f>
        <v/>
      </c>
      <c r="AG20" s="237">
        <f ca="1">AppsAll($A20&lt;TODAY(),'За день'!AM20)</f>
        <v>380</v>
      </c>
      <c r="AH20" s="250">
        <f ca="1">AppsAll($A20&lt;TODAY(),'За день'!AN20)</f>
        <v>13</v>
      </c>
      <c r="AI20" s="251" t="str">
        <f ca="1">AppsAll($A20&lt;TODAY(),'За день'!AO20)</f>
        <v/>
      </c>
      <c r="AJ20" s="252">
        <f ca="1">AppsAll($A20&lt;TODAY(),'За день'!AP20)</f>
        <v>3</v>
      </c>
      <c r="AK20" s="237">
        <f ca="1">AppsAll($A20&lt;TODAY(),'За день'!AQ20)</f>
        <v>10</v>
      </c>
      <c r="AL20" s="253">
        <f>'За день'!AR20</f>
        <v>35</v>
      </c>
      <c r="AM20" s="239" t="str">
        <f ca="1">'За день'!AS20</f>
        <v/>
      </c>
    </row>
    <row r="21" spans="1:39" ht="15.75" thickBot="1">
      <c r="A21" s="240">
        <f>'За день'!A21</f>
        <v>45455</v>
      </c>
      <c r="B21" s="241">
        <f ca="1">'За день'!B21</f>
        <v>21</v>
      </c>
      <c r="C21" s="241">
        <f ca="1">'За день'!C21</f>
        <v>11</v>
      </c>
      <c r="D21" s="241">
        <f ca="1">'За день'!D21</f>
        <v>7</v>
      </c>
      <c r="E21" s="241">
        <f ca="1">'За день'!E21</f>
        <v>3</v>
      </c>
      <c r="F21" s="241">
        <f ca="1">'За день'!F21</f>
        <v>5</v>
      </c>
      <c r="G21" s="241"/>
      <c r="H21" s="241" t="str">
        <f ca="1">'За день'!H21</f>
        <v/>
      </c>
      <c r="I21" s="242">
        <f ca="1">AppsAll(A21&lt;TODAY(),SUM('За день'!I21,'За день'!L21)-IF(L21="",0,L21))</f>
        <v>3</v>
      </c>
      <c r="J21" s="242"/>
      <c r="K21" s="243"/>
      <c r="L21" s="232">
        <f t="shared" ca="1" si="0"/>
        <v>3</v>
      </c>
      <c r="M21" s="244">
        <f t="shared" ca="1" si="1"/>
        <v>3</v>
      </c>
      <c r="N21" s="245">
        <f ca="1">'За день'!O21</f>
        <v>8</v>
      </c>
      <c r="O21" s="246">
        <f t="shared" ca="1" si="2"/>
        <v>2</v>
      </c>
      <c r="P21" s="245" t="str">
        <f t="shared" ca="1" si="3"/>
        <v/>
      </c>
      <c r="Q21" s="247" t="str">
        <f t="shared" ca="1" si="4"/>
        <v/>
      </c>
      <c r="R21" s="246" t="str">
        <f t="shared" ca="1" si="5"/>
        <v/>
      </c>
      <c r="S21" s="248">
        <f t="shared" ca="1" si="6"/>
        <v>17.899999999999999</v>
      </c>
      <c r="T21" s="247">
        <f t="shared" ca="1" si="7"/>
        <v>15</v>
      </c>
      <c r="U21" s="247" t="str">
        <f t="shared" ca="1" si="8"/>
        <v/>
      </c>
      <c r="V21" s="246">
        <f t="shared" ca="1" si="9"/>
        <v>3</v>
      </c>
      <c r="W21" s="170" t="str">
        <f t="shared" ca="1" si="10"/>
        <v/>
      </c>
      <c r="X21" s="245"/>
      <c r="Y21" s="246"/>
      <c r="Z21" s="245"/>
      <c r="AA21" s="247"/>
      <c r="AB21" s="246"/>
      <c r="AC21" s="249" t="str">
        <f t="shared" ca="1" si="11"/>
        <v/>
      </c>
      <c r="AD21" s="250">
        <f ca="1">AppsAll($A21&lt;TODAY(),'За день'!AJ21)</f>
        <v>380</v>
      </c>
      <c r="AE21" s="251" t="str">
        <f ca="1">AppsAll($A21&lt;TODAY(),'За день'!AK21)</f>
        <v/>
      </c>
      <c r="AF21" s="252" t="str">
        <f ca="1">AppsAll($A21&lt;TODAY(),'За день'!AL21)</f>
        <v/>
      </c>
      <c r="AG21" s="237">
        <f ca="1">AppsAll($A21&lt;TODAY(),'За день'!AM21)</f>
        <v>380</v>
      </c>
      <c r="AH21" s="250">
        <f ca="1">AppsAll($A21&lt;TODAY(),'За день'!AN21)</f>
        <v>10</v>
      </c>
      <c r="AI21" s="251" t="str">
        <f ca="1">AppsAll($A21&lt;TODAY(),'За день'!AO21)</f>
        <v/>
      </c>
      <c r="AJ21" s="252">
        <f ca="1">AppsAll($A21&lt;TODAY(),'За день'!AP21)</f>
        <v>1</v>
      </c>
      <c r="AK21" s="237">
        <f ca="1">AppsAll($A21&lt;TODAY(),'За день'!AQ21)</f>
        <v>9</v>
      </c>
      <c r="AL21" s="253">
        <f>'За день'!AR21</f>
        <v>32</v>
      </c>
      <c r="AM21" s="239" t="str">
        <f ca="1">'За день'!AS21</f>
        <v/>
      </c>
    </row>
    <row r="22" spans="1:39" ht="15.75" thickBot="1">
      <c r="A22" s="240">
        <f>'За день'!A22</f>
        <v>45456</v>
      </c>
      <c r="B22" s="241">
        <f ca="1">'За день'!B22</f>
        <v>21</v>
      </c>
      <c r="C22" s="241">
        <f ca="1">'За день'!C22</f>
        <v>11</v>
      </c>
      <c r="D22" s="241">
        <f ca="1">'За день'!D22</f>
        <v>8</v>
      </c>
      <c r="E22" s="241">
        <f ca="1">'За день'!E22</f>
        <v>3</v>
      </c>
      <c r="F22" s="241">
        <f ca="1">'За день'!F22</f>
        <v>5</v>
      </c>
      <c r="G22" s="241"/>
      <c r="H22" s="241" t="str">
        <f ca="1">'За день'!H22</f>
        <v/>
      </c>
      <c r="I22" s="242">
        <f ca="1">AppsAll(A22&lt;TODAY(),SUM('За день'!I22,'За день'!L22)-IF(L22="",0,L22))</f>
        <v>4</v>
      </c>
      <c r="J22" s="242"/>
      <c r="K22" s="243"/>
      <c r="L22" s="232">
        <f t="shared" ca="1" si="0"/>
        <v>1</v>
      </c>
      <c r="M22" s="244">
        <f t="shared" ca="1" si="1"/>
        <v>1</v>
      </c>
      <c r="N22" s="245">
        <f ca="1">'За день'!O22</f>
        <v>8</v>
      </c>
      <c r="O22" s="246">
        <f t="shared" ca="1" si="2"/>
        <v>1</v>
      </c>
      <c r="P22" s="245" t="str">
        <f t="shared" ca="1" si="3"/>
        <v/>
      </c>
      <c r="Q22" s="247" t="str">
        <f t="shared" ca="1" si="4"/>
        <v/>
      </c>
      <c r="R22" s="246" t="str">
        <f t="shared" ca="1" si="5"/>
        <v/>
      </c>
      <c r="S22" s="248">
        <f t="shared" ca="1" si="6"/>
        <v>6.1</v>
      </c>
      <c r="T22" s="247">
        <f t="shared" ca="1" si="7"/>
        <v>4</v>
      </c>
      <c r="U22" s="247" t="str">
        <f t="shared" ca="1" si="8"/>
        <v/>
      </c>
      <c r="V22" s="246" t="str">
        <f t="shared" ca="1" si="9"/>
        <v/>
      </c>
      <c r="W22" s="170" t="str">
        <f t="shared" ca="1" si="10"/>
        <v/>
      </c>
      <c r="X22" s="245"/>
      <c r="Y22" s="246"/>
      <c r="Z22" s="245"/>
      <c r="AA22" s="247"/>
      <c r="AB22" s="246"/>
      <c r="AC22" s="249" t="str">
        <f t="shared" ca="1" si="11"/>
        <v/>
      </c>
      <c r="AD22" s="250">
        <f ca="1">AppsAll($A22&lt;TODAY(),'За день'!AJ22)</f>
        <v>380</v>
      </c>
      <c r="AE22" s="251" t="str">
        <f ca="1">AppsAll($A22&lt;TODAY(),'За день'!AK22)</f>
        <v/>
      </c>
      <c r="AF22" s="252" t="str">
        <f ca="1">AppsAll($A22&lt;TODAY(),'За день'!AL22)</f>
        <v/>
      </c>
      <c r="AG22" s="237">
        <f ca="1">AppsAll($A22&lt;TODAY(),'За день'!AM22)</f>
        <v>380</v>
      </c>
      <c r="AH22" s="250">
        <f ca="1">AppsAll($A22&lt;TODAY(),'За день'!AN22)</f>
        <v>9</v>
      </c>
      <c r="AI22" s="251" t="str">
        <f ca="1">AppsAll($A22&lt;TODAY(),'За день'!AO22)</f>
        <v/>
      </c>
      <c r="AJ22" s="252">
        <f ca="1">AppsAll($A22&lt;TODAY(),'За день'!AP22)</f>
        <v>1</v>
      </c>
      <c r="AK22" s="237">
        <f ca="1">AppsAll($A22&lt;TODAY(),'За день'!AQ22)</f>
        <v>8</v>
      </c>
      <c r="AL22" s="253">
        <f>'За день'!AR22</f>
        <v>28</v>
      </c>
      <c r="AM22" s="239" t="str">
        <f ca="1">'За день'!AS22</f>
        <v/>
      </c>
    </row>
    <row r="23" spans="1:39" ht="15.75" thickBot="1">
      <c r="A23" s="240">
        <f>'За день'!A23</f>
        <v>45457</v>
      </c>
      <c r="B23" s="241">
        <f ca="1">'За день'!B23</f>
        <v>21</v>
      </c>
      <c r="C23" s="241">
        <f ca="1">'За день'!C23</f>
        <v>11</v>
      </c>
      <c r="D23" s="241">
        <f ca="1">'За день'!D23</f>
        <v>6</v>
      </c>
      <c r="E23" s="241">
        <f ca="1">'За день'!E23</f>
        <v>3</v>
      </c>
      <c r="F23" s="241">
        <f ca="1">'За день'!F23</f>
        <v>5</v>
      </c>
      <c r="G23" s="241"/>
      <c r="H23" s="241">
        <f ca="1">'За день'!H23</f>
        <v>1</v>
      </c>
      <c r="I23" s="242">
        <f ca="1">AppsAll(A23&lt;TODAY(),SUM('За день'!I23,'За день'!L23)-IF(L23="",0,L23))</f>
        <v>4</v>
      </c>
      <c r="J23" s="242"/>
      <c r="K23" s="243"/>
      <c r="L23" s="232">
        <f t="shared" ca="1" si="0"/>
        <v>2</v>
      </c>
      <c r="M23" s="244">
        <f t="shared" ca="1" si="1"/>
        <v>1</v>
      </c>
      <c r="N23" s="245">
        <f ca="1">'За день'!O23</f>
        <v>8</v>
      </c>
      <c r="O23" s="246" t="str">
        <f t="shared" ca="1" si="2"/>
        <v/>
      </c>
      <c r="P23" s="245" t="str">
        <f t="shared" ca="1" si="3"/>
        <v/>
      </c>
      <c r="Q23" s="247">
        <f t="shared" ca="1" si="4"/>
        <v>1</v>
      </c>
      <c r="R23" s="246" t="str">
        <f t="shared" ca="1" si="5"/>
        <v/>
      </c>
      <c r="S23" s="248">
        <f t="shared" ca="1" si="6"/>
        <v>6</v>
      </c>
      <c r="T23" s="247">
        <f t="shared" ca="1" si="7"/>
        <v>8</v>
      </c>
      <c r="U23" s="247">
        <f t="shared" ca="1" si="8"/>
        <v>6</v>
      </c>
      <c r="V23" s="246">
        <f t="shared" ca="1" si="9"/>
        <v>5</v>
      </c>
      <c r="W23" s="170" t="str">
        <f t="shared" ca="1" si="10"/>
        <v/>
      </c>
      <c r="X23" s="245"/>
      <c r="Y23" s="246"/>
      <c r="Z23" s="245"/>
      <c r="AA23" s="247"/>
      <c r="AB23" s="246"/>
      <c r="AC23" s="249" t="str">
        <f t="shared" ca="1" si="11"/>
        <v/>
      </c>
      <c r="AD23" s="250">
        <f ca="1">AppsAll($A23&lt;TODAY(),'За день'!AJ23)</f>
        <v>380</v>
      </c>
      <c r="AE23" s="251" t="str">
        <f ca="1">AppsAll($A23&lt;TODAY(),'За день'!AK23)</f>
        <v/>
      </c>
      <c r="AF23" s="252" t="str">
        <f ca="1">AppsAll($A23&lt;TODAY(),'За день'!AL23)</f>
        <v/>
      </c>
      <c r="AG23" s="237">
        <f ca="1">AppsAll($A23&lt;TODAY(),'За день'!AM23)</f>
        <v>380</v>
      </c>
      <c r="AH23" s="250">
        <f ca="1">AppsAll($A23&lt;TODAY(),'За день'!AN23)</f>
        <v>8</v>
      </c>
      <c r="AI23" s="251" t="str">
        <f ca="1">AppsAll($A23&lt;TODAY(),'За день'!AO23)</f>
        <v/>
      </c>
      <c r="AJ23" s="252">
        <f ca="1">AppsAll($A23&lt;TODAY(),'За день'!AP23)</f>
        <v>2</v>
      </c>
      <c r="AK23" s="237">
        <f ca="1">AppsAll($A23&lt;TODAY(),'За день'!AQ23)</f>
        <v>6</v>
      </c>
      <c r="AL23" s="253">
        <f>'За день'!AR23</f>
        <v>27</v>
      </c>
      <c r="AM23" s="239" t="str">
        <f ca="1">'За день'!AS23</f>
        <v/>
      </c>
    </row>
    <row r="24" spans="1:39" ht="15.75" thickBot="1">
      <c r="A24" s="240">
        <f>'За день'!A24</f>
        <v>45458</v>
      </c>
      <c r="B24" s="241">
        <f ca="1">'За день'!B24</f>
        <v>21</v>
      </c>
      <c r="C24" s="241">
        <f ca="1">'За день'!C24</f>
        <v>11</v>
      </c>
      <c r="D24" s="241" t="str">
        <f ca="1">'За день'!D24</f>
        <v/>
      </c>
      <c r="E24" s="241" t="str">
        <f ca="1">'За день'!E24</f>
        <v/>
      </c>
      <c r="F24" s="241" t="str">
        <f ca="1">'За день'!F24</f>
        <v/>
      </c>
      <c r="G24" s="241"/>
      <c r="H24" s="241" t="str">
        <f ca="1">'За день'!H24</f>
        <v/>
      </c>
      <c r="I24" s="242">
        <f ca="1">AppsAll(A24&lt;TODAY(),SUM('За день'!I24,'За день'!L24)-IF(L24="",0,L24))</f>
        <v>19</v>
      </c>
      <c r="J24" s="242"/>
      <c r="K24" s="243"/>
      <c r="L24" s="232">
        <f t="shared" ca="1" si="0"/>
        <v>2</v>
      </c>
      <c r="M24" s="244" t="str">
        <f t="shared" ca="1" si="1"/>
        <v/>
      </c>
      <c r="N24" s="245">
        <f ca="1">'За день'!O24</f>
        <v>8</v>
      </c>
      <c r="O24" s="246" t="str">
        <f t="shared" ca="1" si="2"/>
        <v/>
      </c>
      <c r="P24" s="245" t="str">
        <f t="shared" ca="1" si="3"/>
        <v/>
      </c>
      <c r="Q24" s="247">
        <f t="shared" ca="1" si="4"/>
        <v>2</v>
      </c>
      <c r="R24" s="246" t="str">
        <f t="shared" ca="1" si="5"/>
        <v/>
      </c>
      <c r="S24" s="248" t="str">
        <f t="shared" ca="1" si="6"/>
        <v/>
      </c>
      <c r="T24" s="247" t="str">
        <f t="shared" ca="1" si="7"/>
        <v/>
      </c>
      <c r="U24" s="247">
        <f t="shared" ca="1" si="8"/>
        <v>229</v>
      </c>
      <c r="V24" s="246" t="str">
        <f t="shared" ca="1" si="9"/>
        <v/>
      </c>
      <c r="W24" s="170" t="str">
        <f t="shared" ca="1" si="10"/>
        <v/>
      </c>
      <c r="X24" s="245"/>
      <c r="Y24" s="246"/>
      <c r="Z24" s="245"/>
      <c r="AA24" s="247"/>
      <c r="AB24" s="246"/>
      <c r="AC24" s="249" t="str">
        <f t="shared" ca="1" si="11"/>
        <v/>
      </c>
      <c r="AD24" s="250">
        <f ca="1">AppsAll($A24&lt;TODAY(),'За день'!AJ24)</f>
        <v>380</v>
      </c>
      <c r="AE24" s="251" t="str">
        <f ca="1">AppsAll($A24&lt;TODAY(),'За день'!AK24)</f>
        <v/>
      </c>
      <c r="AF24" s="252" t="str">
        <f ca="1">AppsAll($A24&lt;TODAY(),'За день'!AL24)</f>
        <v/>
      </c>
      <c r="AG24" s="237">
        <f ca="1">AppsAll($A24&lt;TODAY(),'За день'!AM24)</f>
        <v>380</v>
      </c>
      <c r="AH24" s="250">
        <f ca="1">AppsAll($A24&lt;TODAY(),'За день'!AN24)</f>
        <v>6</v>
      </c>
      <c r="AI24" s="251" t="str">
        <f ca="1">AppsAll($A24&lt;TODAY(),'За день'!AO24)</f>
        <v/>
      </c>
      <c r="AJ24" s="252">
        <f ca="1">AppsAll($A24&lt;TODAY(),'За день'!AP24)</f>
        <v>1</v>
      </c>
      <c r="AK24" s="237">
        <f ca="1">AppsAll($A24&lt;TODAY(),'За день'!AQ24)</f>
        <v>5</v>
      </c>
      <c r="AL24" s="253">
        <f>'За день'!AR24</f>
        <v>23</v>
      </c>
      <c r="AM24" s="239" t="str">
        <f ca="1">'За день'!AS24</f>
        <v/>
      </c>
    </row>
    <row r="25" spans="1:39" ht="15.75" thickBot="1">
      <c r="A25" s="240">
        <f>'За день'!A25</f>
        <v>45459</v>
      </c>
      <c r="B25" s="241">
        <f ca="1">'За день'!B25</f>
        <v>21</v>
      </c>
      <c r="C25" s="241">
        <f ca="1">'За день'!C25</f>
        <v>11</v>
      </c>
      <c r="D25" s="241" t="str">
        <f ca="1">'За день'!D25</f>
        <v/>
      </c>
      <c r="E25" s="241" t="str">
        <f ca="1">'За день'!E25</f>
        <v/>
      </c>
      <c r="F25" s="241" t="str">
        <f ca="1">'За день'!F25</f>
        <v/>
      </c>
      <c r="G25" s="241"/>
      <c r="H25" s="241" t="str">
        <f ca="1">'За день'!H25</f>
        <v/>
      </c>
      <c r="I25" s="242">
        <f ca="1">AppsAll(A25&lt;TODAY(),SUM('За день'!I25,'За день'!L25)-IF(L25="",0,L25))</f>
        <v>21</v>
      </c>
      <c r="J25" s="242"/>
      <c r="K25" s="243"/>
      <c r="L25" s="232" t="str">
        <f t="shared" ca="1" si="0"/>
        <v/>
      </c>
      <c r="M25" s="244" t="str">
        <f t="shared" ca="1" si="1"/>
        <v/>
      </c>
      <c r="N25" s="245">
        <f ca="1">'За день'!O25</f>
        <v>8</v>
      </c>
      <c r="O25" s="246" t="str">
        <f t="shared" ca="1" si="2"/>
        <v/>
      </c>
      <c r="P25" s="245" t="str">
        <f t="shared" ca="1" si="3"/>
        <v/>
      </c>
      <c r="Q25" s="247" t="str">
        <f t="shared" ca="1" si="4"/>
        <v/>
      </c>
      <c r="R25" s="246" t="str">
        <f t="shared" ca="1" si="5"/>
        <v/>
      </c>
      <c r="S25" s="248" t="str">
        <f t="shared" ca="1" si="6"/>
        <v/>
      </c>
      <c r="T25" s="247" t="str">
        <f t="shared" ca="1" si="7"/>
        <v/>
      </c>
      <c r="U25" s="247" t="str">
        <f t="shared" ca="1" si="8"/>
        <v/>
      </c>
      <c r="V25" s="246" t="str">
        <f t="shared" ca="1" si="9"/>
        <v/>
      </c>
      <c r="W25" s="170" t="str">
        <f t="shared" ca="1" si="10"/>
        <v/>
      </c>
      <c r="X25" s="245"/>
      <c r="Y25" s="246"/>
      <c r="Z25" s="245"/>
      <c r="AA25" s="247"/>
      <c r="AB25" s="246"/>
      <c r="AC25" s="249" t="str">
        <f t="shared" ca="1" si="11"/>
        <v/>
      </c>
      <c r="AD25" s="250">
        <f ca="1">AppsAll($A25&lt;TODAY(),'За день'!AJ25)</f>
        <v>380</v>
      </c>
      <c r="AE25" s="251" t="str">
        <f ca="1">AppsAll($A25&lt;TODAY(),'За день'!AK25)</f>
        <v/>
      </c>
      <c r="AF25" s="252" t="str">
        <f ca="1">AppsAll($A25&lt;TODAY(),'За день'!AL25)</f>
        <v/>
      </c>
      <c r="AG25" s="237">
        <f ca="1">AppsAll($A25&lt;TODAY(),'За день'!AM25)</f>
        <v>380</v>
      </c>
      <c r="AH25" s="250">
        <f ca="1">AppsAll($A25&lt;TODAY(),'За день'!AN25)</f>
        <v>5</v>
      </c>
      <c r="AI25" s="251" t="str">
        <f ca="1">AppsAll($A25&lt;TODAY(),'За день'!AO25)</f>
        <v/>
      </c>
      <c r="AJ25" s="252" t="str">
        <f ca="1">AppsAll($A25&lt;TODAY(),'За день'!AP25)</f>
        <v/>
      </c>
      <c r="AK25" s="237">
        <f ca="1">AppsAll($A25&lt;TODAY(),'За день'!AQ25)</f>
        <v>5</v>
      </c>
      <c r="AL25" s="253">
        <f>'За день'!AR25</f>
        <v>0</v>
      </c>
      <c r="AM25" s="239" t="str">
        <f ca="1">'За день'!AS25</f>
        <v/>
      </c>
    </row>
    <row r="26" spans="1:39" ht="15.75" thickBot="1">
      <c r="A26" s="240">
        <f>'За день'!A26</f>
        <v>45460</v>
      </c>
      <c r="B26" s="241">
        <f ca="1">'За день'!B26</f>
        <v>21</v>
      </c>
      <c r="C26" s="241">
        <f ca="1">'За день'!C26</f>
        <v>11</v>
      </c>
      <c r="D26" s="241">
        <f ca="1">'За день'!D26</f>
        <v>6</v>
      </c>
      <c r="E26" s="241">
        <f ca="1">'За день'!E26</f>
        <v>3</v>
      </c>
      <c r="F26" s="241">
        <f ca="1">'За день'!F26</f>
        <v>5</v>
      </c>
      <c r="G26" s="241"/>
      <c r="H26" s="241">
        <f ca="1">'За день'!H26</f>
        <v>2</v>
      </c>
      <c r="I26" s="242">
        <f ca="1">AppsAll(A26&lt;TODAY(),SUM('За день'!I26,'За день'!L26)-IF(L26="",0,L26))</f>
        <v>3</v>
      </c>
      <c r="J26" s="242"/>
      <c r="K26" s="243"/>
      <c r="L26" s="232">
        <f t="shared" ca="1" si="0"/>
        <v>2</v>
      </c>
      <c r="M26" s="244">
        <f t="shared" ca="1" si="1"/>
        <v>2</v>
      </c>
      <c r="N26" s="245">
        <f ca="1">'За день'!O26</f>
        <v>8</v>
      </c>
      <c r="O26" s="246">
        <f t="shared" ca="1" si="2"/>
        <v>1</v>
      </c>
      <c r="P26" s="245" t="str">
        <f t="shared" ca="1" si="3"/>
        <v/>
      </c>
      <c r="Q26" s="247" t="str">
        <f t="shared" ca="1" si="4"/>
        <v/>
      </c>
      <c r="R26" s="246" t="str">
        <f t="shared" ca="1" si="5"/>
        <v/>
      </c>
      <c r="S26" s="248">
        <f t="shared" ca="1" si="6"/>
        <v>12.899999999999999</v>
      </c>
      <c r="T26" s="247">
        <f t="shared" ca="1" si="7"/>
        <v>11</v>
      </c>
      <c r="U26" s="247" t="str">
        <f t="shared" ca="1" si="8"/>
        <v/>
      </c>
      <c r="V26" s="246">
        <f t="shared" ca="1" si="9"/>
        <v>6</v>
      </c>
      <c r="W26" s="170" t="str">
        <f t="shared" ca="1" si="10"/>
        <v/>
      </c>
      <c r="X26" s="245"/>
      <c r="Y26" s="246"/>
      <c r="Z26" s="245"/>
      <c r="AA26" s="247"/>
      <c r="AB26" s="246"/>
      <c r="AC26" s="249" t="str">
        <f t="shared" ca="1" si="11"/>
        <v/>
      </c>
      <c r="AD26" s="250">
        <f ca="1">AppsAll($A26&lt;TODAY(),'За день'!AJ26)</f>
        <v>380</v>
      </c>
      <c r="AE26" s="251" t="str">
        <f ca="1">AppsAll($A26&lt;TODAY(),'За день'!AK26)</f>
        <v/>
      </c>
      <c r="AF26" s="252" t="str">
        <f ca="1">AppsAll($A26&lt;TODAY(),'За день'!AL26)</f>
        <v/>
      </c>
      <c r="AG26" s="237">
        <f ca="1">AppsAll($A26&lt;TODAY(),'За день'!AM26)</f>
        <v>380</v>
      </c>
      <c r="AH26" s="250">
        <f ca="1">AppsAll($A26&lt;TODAY(),'За день'!AN26)</f>
        <v>5</v>
      </c>
      <c r="AI26" s="251" t="str">
        <f ca="1">AppsAll($A26&lt;TODAY(),'За день'!AO26)</f>
        <v/>
      </c>
      <c r="AJ26" s="252">
        <f ca="1">AppsAll($A26&lt;TODAY(),'За день'!AP26)</f>
        <v>1</v>
      </c>
      <c r="AK26" s="237">
        <f ca="1">AppsAll($A26&lt;TODAY(),'За день'!AQ26)</f>
        <v>4</v>
      </c>
      <c r="AL26" s="253">
        <f>'За день'!AR26</f>
        <v>30</v>
      </c>
      <c r="AM26" s="239" t="str">
        <f ca="1">'За день'!AS26</f>
        <v/>
      </c>
    </row>
    <row r="27" spans="1:39" ht="15.75" thickBot="1">
      <c r="A27" s="240">
        <f>'За день'!A27</f>
        <v>45461</v>
      </c>
      <c r="B27" s="241">
        <f ca="1">'За день'!B27</f>
        <v>21</v>
      </c>
      <c r="C27" s="241">
        <f ca="1">'За день'!C27</f>
        <v>11</v>
      </c>
      <c r="D27" s="241">
        <f ca="1">'За день'!D27</f>
        <v>8</v>
      </c>
      <c r="E27" s="241">
        <f ca="1">'За день'!E27</f>
        <v>3</v>
      </c>
      <c r="F27" s="241">
        <f ca="1">'За день'!F27</f>
        <v>5</v>
      </c>
      <c r="G27" s="241"/>
      <c r="H27" s="241" t="str">
        <f ca="1">'За день'!H27</f>
        <v/>
      </c>
      <c r="I27" s="242">
        <f ca="1">AppsAll(A27&lt;TODAY(),SUM('За день'!I27,'За день'!L27)-IF(L27="",0,L27))</f>
        <v>3</v>
      </c>
      <c r="J27" s="242"/>
      <c r="K27" s="243"/>
      <c r="L27" s="232">
        <f t="shared" ca="1" si="0"/>
        <v>2</v>
      </c>
      <c r="M27" s="244">
        <f t="shared" ca="1" si="1"/>
        <v>2</v>
      </c>
      <c r="N27" s="245">
        <f ca="1">'За день'!O27</f>
        <v>8</v>
      </c>
      <c r="O27" s="246">
        <f t="shared" ca="1" si="2"/>
        <v>2</v>
      </c>
      <c r="P27" s="245" t="str">
        <f t="shared" ca="1" si="3"/>
        <v/>
      </c>
      <c r="Q27" s="247" t="str">
        <f t="shared" ca="1" si="4"/>
        <v/>
      </c>
      <c r="R27" s="246" t="str">
        <f t="shared" ca="1" si="5"/>
        <v/>
      </c>
      <c r="S27" s="248">
        <f t="shared" ca="1" si="6"/>
        <v>8.3999999999999986</v>
      </c>
      <c r="T27" s="247">
        <f t="shared" ca="1" si="7"/>
        <v>12</v>
      </c>
      <c r="U27" s="247" t="str">
        <f t="shared" ca="1" si="8"/>
        <v/>
      </c>
      <c r="V27" s="246">
        <f t="shared" ca="1" si="9"/>
        <v>4</v>
      </c>
      <c r="W27" s="170" t="str">
        <f t="shared" ca="1" si="10"/>
        <v/>
      </c>
      <c r="X27" s="245"/>
      <c r="Y27" s="246"/>
      <c r="Z27" s="245"/>
      <c r="AA27" s="247"/>
      <c r="AB27" s="246"/>
      <c r="AC27" s="249" t="str">
        <f t="shared" ca="1" si="11"/>
        <v/>
      </c>
      <c r="AD27" s="250">
        <f ca="1">AppsAll($A27&lt;TODAY(),'За день'!AJ27)</f>
        <v>380</v>
      </c>
      <c r="AE27" s="251" t="str">
        <f ca="1">AppsAll($A27&lt;TODAY(),'За день'!AK27)</f>
        <v/>
      </c>
      <c r="AF27" s="252" t="str">
        <f ca="1">AppsAll($A27&lt;TODAY(),'За день'!AL27)</f>
        <v/>
      </c>
      <c r="AG27" s="237">
        <f ca="1">AppsAll($A27&lt;TODAY(),'За день'!AM27)</f>
        <v>380</v>
      </c>
      <c r="AH27" s="250">
        <f ca="1">AppsAll($A27&lt;TODAY(),'За день'!AN27)</f>
        <v>4</v>
      </c>
      <c r="AI27" s="251" t="str">
        <f ca="1">AppsAll($A27&lt;TODAY(),'За день'!AO27)</f>
        <v/>
      </c>
      <c r="AJ27" s="252" t="str">
        <f ca="1">AppsAll($A27&lt;TODAY(),'За день'!AP27)</f>
        <v/>
      </c>
      <c r="AK27" s="237">
        <f ca="1">AppsAll($A27&lt;TODAY(),'За день'!AQ27)</f>
        <v>4</v>
      </c>
      <c r="AL27" s="253">
        <f>'За день'!AR27</f>
        <v>31</v>
      </c>
      <c r="AM27" s="239" t="str">
        <f ca="1">'За день'!AS27</f>
        <v/>
      </c>
    </row>
    <row r="28" spans="1:39" ht="15.75" thickBot="1">
      <c r="A28" s="240">
        <f>'За день'!A28</f>
        <v>45462</v>
      </c>
      <c r="B28" s="241">
        <f ca="1">'За день'!B28</f>
        <v>21</v>
      </c>
      <c r="C28" s="241">
        <f ca="1">'За день'!C28</f>
        <v>11</v>
      </c>
      <c r="D28" s="241">
        <f ca="1">'За день'!D28</f>
        <v>8</v>
      </c>
      <c r="E28" s="241">
        <f ca="1">'За день'!E28</f>
        <v>3</v>
      </c>
      <c r="F28" s="241">
        <f ca="1">'За день'!F28</f>
        <v>5</v>
      </c>
      <c r="G28" s="241"/>
      <c r="H28" s="241" t="str">
        <f ca="1">'За день'!H28</f>
        <v/>
      </c>
      <c r="I28" s="242">
        <f ca="1">AppsAll(A28&lt;TODAY(),SUM('За день'!I28,'За день'!L28)-IF(L28="",0,L28))</f>
        <v>4</v>
      </c>
      <c r="J28" s="242"/>
      <c r="K28" s="243"/>
      <c r="L28" s="232">
        <f t="shared" ca="1" si="0"/>
        <v>1</v>
      </c>
      <c r="M28" s="244">
        <f t="shared" ca="1" si="1"/>
        <v>1</v>
      </c>
      <c r="N28" s="245">
        <f ca="1">'За день'!O28</f>
        <v>8</v>
      </c>
      <c r="O28" s="246">
        <f t="shared" ca="1" si="2"/>
        <v>1</v>
      </c>
      <c r="P28" s="245" t="str">
        <f t="shared" ca="1" si="3"/>
        <v/>
      </c>
      <c r="Q28" s="247" t="str">
        <f t="shared" ca="1" si="4"/>
        <v/>
      </c>
      <c r="R28" s="246" t="str">
        <f t="shared" ca="1" si="5"/>
        <v/>
      </c>
      <c r="S28" s="248">
        <f t="shared" ca="1" si="6"/>
        <v>7.6</v>
      </c>
      <c r="T28" s="247" t="str">
        <f t="shared" ca="1" si="7"/>
        <v/>
      </c>
      <c r="U28" s="247" t="str">
        <f t="shared" ca="1" si="8"/>
        <v/>
      </c>
      <c r="V28" s="246">
        <f t="shared" ca="1" si="9"/>
        <v>4</v>
      </c>
      <c r="W28" s="170" t="str">
        <f t="shared" ca="1" si="10"/>
        <v/>
      </c>
      <c r="X28" s="245"/>
      <c r="Y28" s="246"/>
      <c r="Z28" s="245"/>
      <c r="AA28" s="247"/>
      <c r="AB28" s="246"/>
      <c r="AC28" s="249" t="str">
        <f t="shared" ca="1" si="11"/>
        <v/>
      </c>
      <c r="AD28" s="250">
        <f ca="1">AppsAll($A28&lt;TODAY(),'За день'!AJ28)</f>
        <v>380</v>
      </c>
      <c r="AE28" s="251" t="str">
        <f ca="1">AppsAll($A28&lt;TODAY(),'За день'!AK28)</f>
        <v/>
      </c>
      <c r="AF28" s="252" t="str">
        <f ca="1">AppsAll($A28&lt;TODAY(),'За день'!AL28)</f>
        <v/>
      </c>
      <c r="AG28" s="237">
        <f ca="1">AppsAll($A28&lt;TODAY(),'За день'!AM28)</f>
        <v>380</v>
      </c>
      <c r="AH28" s="250">
        <f ca="1">AppsAll($A28&lt;TODAY(),'За день'!AN28)</f>
        <v>4</v>
      </c>
      <c r="AI28" s="251" t="str">
        <f ca="1">AppsAll($A28&lt;TODAY(),'За день'!AO28)</f>
        <v/>
      </c>
      <c r="AJ28" s="252" t="str">
        <f ca="1">AppsAll($A28&lt;TODAY(),'За день'!AP28)</f>
        <v/>
      </c>
      <c r="AK28" s="237">
        <f ca="1">AppsAll($A28&lt;TODAY(),'За день'!AQ28)</f>
        <v>4</v>
      </c>
      <c r="AL28" s="253">
        <f>'За день'!AR28</f>
        <v>31</v>
      </c>
      <c r="AM28" s="239" t="str">
        <f ca="1">'За день'!AS28</f>
        <v/>
      </c>
    </row>
    <row r="29" spans="1:39" ht="15.75" thickBot="1">
      <c r="A29" s="240">
        <f>'За день'!A29</f>
        <v>45463</v>
      </c>
      <c r="B29" s="241">
        <f ca="1">'За день'!B29</f>
        <v>21</v>
      </c>
      <c r="C29" s="241">
        <f ca="1">'За день'!C29</f>
        <v>11</v>
      </c>
      <c r="D29" s="241">
        <f ca="1">'За день'!D29</f>
        <v>8</v>
      </c>
      <c r="E29" s="241">
        <f ca="1">'За день'!E29</f>
        <v>3</v>
      </c>
      <c r="F29" s="241">
        <f ca="1">'За день'!F29</f>
        <v>5</v>
      </c>
      <c r="G29" s="241"/>
      <c r="H29" s="241" t="str">
        <f ca="1">'За день'!H29</f>
        <v/>
      </c>
      <c r="I29" s="242">
        <f ca="1">AppsAll(A29&lt;TODAY(),SUM('За день'!I29,'За день'!L29)-IF(L29="",0,L29))</f>
        <v>3</v>
      </c>
      <c r="J29" s="242"/>
      <c r="K29" s="243"/>
      <c r="L29" s="232">
        <f t="shared" ca="1" si="0"/>
        <v>2</v>
      </c>
      <c r="M29" s="244">
        <f t="shared" ca="1" si="1"/>
        <v>2</v>
      </c>
      <c r="N29" s="245">
        <f ca="1">'За день'!O29</f>
        <v>8</v>
      </c>
      <c r="O29" s="246">
        <f t="shared" ca="1" si="2"/>
        <v>1</v>
      </c>
      <c r="P29" s="245" t="str">
        <f t="shared" ca="1" si="3"/>
        <v/>
      </c>
      <c r="Q29" s="247" t="str">
        <f t="shared" ca="1" si="4"/>
        <v/>
      </c>
      <c r="R29" s="246" t="str">
        <f t="shared" ca="1" si="5"/>
        <v/>
      </c>
      <c r="S29" s="248">
        <f t="shared" ca="1" si="6"/>
        <v>8.8999999999999986</v>
      </c>
      <c r="T29" s="247">
        <f t="shared" ca="1" si="7"/>
        <v>13</v>
      </c>
      <c r="U29" s="247" t="str">
        <f t="shared" ca="1" si="8"/>
        <v/>
      </c>
      <c r="V29" s="246" t="str">
        <f t="shared" ca="1" si="9"/>
        <v/>
      </c>
      <c r="W29" s="170" t="str">
        <f t="shared" ca="1" si="10"/>
        <v/>
      </c>
      <c r="X29" s="245"/>
      <c r="Y29" s="246"/>
      <c r="Z29" s="245"/>
      <c r="AA29" s="247"/>
      <c r="AB29" s="246"/>
      <c r="AC29" s="249" t="str">
        <f t="shared" ca="1" si="11"/>
        <v/>
      </c>
      <c r="AD29" s="250">
        <f ca="1">AppsAll($A29&lt;TODAY(),'За день'!AJ29)</f>
        <v>380</v>
      </c>
      <c r="AE29" s="251" t="str">
        <f ca="1">AppsAll($A29&lt;TODAY(),'За день'!AK29)</f>
        <v/>
      </c>
      <c r="AF29" s="252" t="str">
        <f ca="1">AppsAll($A29&lt;TODAY(),'За день'!AL29)</f>
        <v/>
      </c>
      <c r="AG29" s="237">
        <f ca="1">AppsAll($A29&lt;TODAY(),'За день'!AM29)</f>
        <v>380</v>
      </c>
      <c r="AH29" s="250">
        <f ca="1">AppsAll($A29&lt;TODAY(),'За день'!AN29)</f>
        <v>4</v>
      </c>
      <c r="AI29" s="251" t="str">
        <f ca="1">AppsAll($A29&lt;TODAY(),'За день'!AO29)</f>
        <v/>
      </c>
      <c r="AJ29" s="252" t="str">
        <f ca="1">AppsAll($A29&lt;TODAY(),'За день'!AP29)</f>
        <v/>
      </c>
      <c r="AK29" s="237">
        <f ca="1">AppsAll($A29&lt;TODAY(),'За день'!AQ29)</f>
        <v>4</v>
      </c>
      <c r="AL29" s="253">
        <f>'За день'!AR29</f>
        <v>30</v>
      </c>
      <c r="AM29" s="239" t="str">
        <f ca="1">'За день'!AS29</f>
        <v/>
      </c>
    </row>
    <row r="30" spans="1:39" ht="15.75" thickBot="1">
      <c r="A30" s="240">
        <f>'За день'!A30</f>
        <v>45464</v>
      </c>
      <c r="B30" s="241">
        <f ca="1">'За день'!B30</f>
        <v>21</v>
      </c>
      <c r="C30" s="241">
        <f ca="1">'За день'!C30</f>
        <v>11</v>
      </c>
      <c r="D30" s="241">
        <f ca="1">'За день'!D30</f>
        <v>8</v>
      </c>
      <c r="E30" s="241">
        <f ca="1">'За день'!E30</f>
        <v>3</v>
      </c>
      <c r="F30" s="241">
        <f ca="1">'За день'!F30</f>
        <v>5</v>
      </c>
      <c r="G30" s="241"/>
      <c r="H30" s="241" t="str">
        <f ca="1">'За день'!H30</f>
        <v/>
      </c>
      <c r="I30" s="242">
        <f ca="1">AppsAll(A30&lt;TODAY(),SUM('За день'!I30,'За день'!L30)-IF(L30="",0,L30))</f>
        <v>3</v>
      </c>
      <c r="J30" s="242"/>
      <c r="K30" s="243"/>
      <c r="L30" s="232">
        <f t="shared" ca="1" si="0"/>
        <v>2</v>
      </c>
      <c r="M30" s="244">
        <f t="shared" ca="1" si="1"/>
        <v>2</v>
      </c>
      <c r="N30" s="245">
        <f ca="1">'За день'!O30</f>
        <v>8</v>
      </c>
      <c r="O30" s="246">
        <f t="shared" ca="1" si="2"/>
        <v>1</v>
      </c>
      <c r="P30" s="245" t="str">
        <f t="shared" ca="1" si="3"/>
        <v/>
      </c>
      <c r="Q30" s="247" t="str">
        <f t="shared" ca="1" si="4"/>
        <v/>
      </c>
      <c r="R30" s="246" t="str">
        <f t="shared" ca="1" si="5"/>
        <v/>
      </c>
      <c r="S30" s="248">
        <f t="shared" ca="1" si="6"/>
        <v>14.2</v>
      </c>
      <c r="T30" s="247">
        <f t="shared" ca="1" si="7"/>
        <v>14</v>
      </c>
      <c r="U30" s="247" t="str">
        <f t="shared" ca="1" si="8"/>
        <v/>
      </c>
      <c r="V30" s="246">
        <f t="shared" ca="1" si="9"/>
        <v>2</v>
      </c>
      <c r="W30" s="170" t="str">
        <f t="shared" ca="1" si="10"/>
        <v/>
      </c>
      <c r="X30" s="245"/>
      <c r="Y30" s="246"/>
      <c r="Z30" s="245"/>
      <c r="AA30" s="247"/>
      <c r="AB30" s="246"/>
      <c r="AC30" s="249" t="str">
        <f t="shared" ca="1" si="11"/>
        <v/>
      </c>
      <c r="AD30" s="250">
        <f ca="1">AppsAll($A30&lt;TODAY(),'За день'!AJ30)</f>
        <v>380</v>
      </c>
      <c r="AE30" s="251" t="str">
        <f ca="1">AppsAll($A30&lt;TODAY(),'За день'!AK30)</f>
        <v/>
      </c>
      <c r="AF30" s="252" t="str">
        <f ca="1">AppsAll($A30&lt;TODAY(),'За день'!AL30)</f>
        <v/>
      </c>
      <c r="AG30" s="237">
        <f ca="1">AppsAll($A30&lt;TODAY(),'За день'!AM30)</f>
        <v>380</v>
      </c>
      <c r="AH30" s="250">
        <f ca="1">AppsAll($A30&lt;TODAY(),'За день'!AN30)</f>
        <v>4</v>
      </c>
      <c r="AI30" s="251" t="str">
        <f ca="1">AppsAll($A30&lt;TODAY(),'За день'!AO30)</f>
        <v/>
      </c>
      <c r="AJ30" s="252">
        <f ca="1">AppsAll($A30&lt;TODAY(),'За день'!AP30)</f>
        <v>1</v>
      </c>
      <c r="AK30" s="237">
        <f ca="1">AppsAll($A30&lt;TODAY(),'За день'!AQ30)</f>
        <v>3</v>
      </c>
      <c r="AL30" s="253">
        <f>'За день'!AR30</f>
        <v>30</v>
      </c>
      <c r="AM30" s="239" t="str">
        <f ca="1">'За день'!AS30</f>
        <v/>
      </c>
    </row>
    <row r="31" spans="1:39" ht="15.75" thickBot="1">
      <c r="A31" s="240">
        <f>'За день'!A31</f>
        <v>45465</v>
      </c>
      <c r="B31" s="241">
        <f ca="1">'За день'!B31</f>
        <v>21</v>
      </c>
      <c r="C31" s="241">
        <f ca="1">'За день'!C31</f>
        <v>11</v>
      </c>
      <c r="D31" s="241" t="str">
        <f ca="1">'За день'!D31</f>
        <v/>
      </c>
      <c r="E31" s="241" t="str">
        <f ca="1">'За день'!E31</f>
        <v/>
      </c>
      <c r="F31" s="241" t="str">
        <f ca="1">'За день'!F31</f>
        <v/>
      </c>
      <c r="G31" s="241"/>
      <c r="H31" s="241" t="str">
        <f ca="1">'За день'!H31</f>
        <v/>
      </c>
      <c r="I31" s="242">
        <f ca="1">AppsAll(A31&lt;TODAY(),SUM('За день'!I31,'За день'!L31)-IF(L31="",0,L31))</f>
        <v>18</v>
      </c>
      <c r="J31" s="242"/>
      <c r="K31" s="243"/>
      <c r="L31" s="232">
        <f t="shared" ca="1" si="0"/>
        <v>3</v>
      </c>
      <c r="M31" s="244" t="str">
        <f t="shared" ca="1" si="1"/>
        <v/>
      </c>
      <c r="N31" s="245">
        <f ca="1">'За день'!O31</f>
        <v>8</v>
      </c>
      <c r="O31" s="246" t="str">
        <f t="shared" ca="1" si="2"/>
        <v/>
      </c>
      <c r="P31" s="245" t="str">
        <f t="shared" ca="1" si="3"/>
        <v/>
      </c>
      <c r="Q31" s="247">
        <f t="shared" ca="1" si="4"/>
        <v>3</v>
      </c>
      <c r="R31" s="246" t="str">
        <f t="shared" ca="1" si="5"/>
        <v/>
      </c>
      <c r="S31" s="248" t="str">
        <f t="shared" ca="1" si="6"/>
        <v/>
      </c>
      <c r="T31" s="247" t="str">
        <f t="shared" ca="1" si="7"/>
        <v/>
      </c>
      <c r="U31" s="247">
        <f t="shared" ca="1" si="8"/>
        <v>576</v>
      </c>
      <c r="V31" s="246" t="str">
        <f t="shared" ca="1" si="9"/>
        <v/>
      </c>
      <c r="W31" s="170" t="str">
        <f t="shared" ca="1" si="10"/>
        <v/>
      </c>
      <c r="X31" s="245"/>
      <c r="Y31" s="246"/>
      <c r="Z31" s="245"/>
      <c r="AA31" s="247"/>
      <c r="AB31" s="246"/>
      <c r="AC31" s="249" t="str">
        <f t="shared" ca="1" si="11"/>
        <v/>
      </c>
      <c r="AD31" s="250">
        <f ca="1">AppsAll($A31&lt;TODAY(),'За день'!AJ31)</f>
        <v>380</v>
      </c>
      <c r="AE31" s="251" t="str">
        <f ca="1">AppsAll($A31&lt;TODAY(),'За день'!AK31)</f>
        <v/>
      </c>
      <c r="AF31" s="252" t="str">
        <f ca="1">AppsAll($A31&lt;TODAY(),'За день'!AL31)</f>
        <v/>
      </c>
      <c r="AG31" s="237">
        <f ca="1">AppsAll($A31&lt;TODAY(),'За день'!AM31)</f>
        <v>380</v>
      </c>
      <c r="AH31" s="250">
        <f ca="1">AppsAll($A31&lt;TODAY(),'За день'!AN31)</f>
        <v>3</v>
      </c>
      <c r="AI31" s="251" t="str">
        <f ca="1">AppsAll($A31&lt;TODAY(),'За день'!AO31)</f>
        <v/>
      </c>
      <c r="AJ31" s="252">
        <f ca="1">AppsAll($A31&lt;TODAY(),'За день'!AP31)</f>
        <v>3</v>
      </c>
      <c r="AK31" s="237" t="str">
        <f ca="1">AppsAll($A31&lt;TODAY(),'За день'!AQ31)</f>
        <v/>
      </c>
      <c r="AL31" s="253">
        <f>'За день'!AR31</f>
        <v>29</v>
      </c>
      <c r="AM31" s="239" t="str">
        <f ca="1">'За день'!AS31</f>
        <v/>
      </c>
    </row>
    <row r="32" spans="1:39" ht="15.75" thickBot="1">
      <c r="A32" s="240">
        <f>'За день'!A32</f>
        <v>45466</v>
      </c>
      <c r="B32" s="241">
        <f ca="1">'За день'!B32</f>
        <v>21</v>
      </c>
      <c r="C32" s="241">
        <f ca="1">'За день'!C32</f>
        <v>11</v>
      </c>
      <c r="D32" s="241" t="str">
        <f ca="1">'За день'!D32</f>
        <v/>
      </c>
      <c r="E32" s="241" t="str">
        <f ca="1">'За день'!E32</f>
        <v/>
      </c>
      <c r="F32" s="241" t="str">
        <f ca="1">'За день'!F32</f>
        <v/>
      </c>
      <c r="G32" s="241"/>
      <c r="H32" s="241" t="str">
        <f ca="1">'За день'!H32</f>
        <v/>
      </c>
      <c r="I32" s="242">
        <f ca="1">AppsAll(A32&lt;TODAY(),SUM('За день'!I32,'За день'!L32)-IF(L32="",0,L32))</f>
        <v>21</v>
      </c>
      <c r="J32" s="242"/>
      <c r="K32" s="243"/>
      <c r="L32" s="232" t="str">
        <f t="shared" ca="1" si="0"/>
        <v/>
      </c>
      <c r="M32" s="244" t="str">
        <f t="shared" ca="1" si="1"/>
        <v/>
      </c>
      <c r="N32" s="245">
        <f ca="1">'За день'!O32</f>
        <v>8</v>
      </c>
      <c r="O32" s="246" t="str">
        <f t="shared" ca="1" si="2"/>
        <v/>
      </c>
      <c r="P32" s="245" t="str">
        <f t="shared" ca="1" si="3"/>
        <v/>
      </c>
      <c r="Q32" s="247" t="str">
        <f t="shared" ca="1" si="4"/>
        <v/>
      </c>
      <c r="R32" s="246" t="str">
        <f t="shared" ca="1" si="5"/>
        <v/>
      </c>
      <c r="S32" s="248" t="str">
        <f t="shared" ca="1" si="6"/>
        <v/>
      </c>
      <c r="T32" s="247" t="str">
        <f t="shared" ca="1" si="7"/>
        <v/>
      </c>
      <c r="U32" s="247" t="str">
        <f t="shared" ca="1" si="8"/>
        <v/>
      </c>
      <c r="V32" s="246" t="str">
        <f t="shared" ca="1" si="9"/>
        <v/>
      </c>
      <c r="W32" s="170" t="str">
        <f t="shared" ca="1" si="10"/>
        <v/>
      </c>
      <c r="X32" s="245"/>
      <c r="Y32" s="246"/>
      <c r="Z32" s="245"/>
      <c r="AA32" s="247"/>
      <c r="AB32" s="246"/>
      <c r="AC32" s="249" t="str">
        <f t="shared" ca="1" si="11"/>
        <v/>
      </c>
      <c r="AD32" s="250">
        <f ca="1">AppsAll($A32&lt;TODAY(),'За день'!AJ32)</f>
        <v>380</v>
      </c>
      <c r="AE32" s="251" t="str">
        <f ca="1">AppsAll($A32&lt;TODAY(),'За день'!AK32)</f>
        <v/>
      </c>
      <c r="AF32" s="252" t="str">
        <f ca="1">AppsAll($A32&lt;TODAY(),'За день'!AL32)</f>
        <v/>
      </c>
      <c r="AG32" s="237">
        <f ca="1">AppsAll($A32&lt;TODAY(),'За день'!AM32)</f>
        <v>380</v>
      </c>
      <c r="AH32" s="250" t="str">
        <f ca="1">AppsAll($A32&lt;TODAY(),'За день'!AN32)</f>
        <v/>
      </c>
      <c r="AI32" s="251" t="str">
        <f ca="1">AppsAll($A32&lt;TODAY(),'За день'!AO32)</f>
        <v/>
      </c>
      <c r="AJ32" s="252" t="str">
        <f ca="1">AppsAll($A32&lt;TODAY(),'За день'!AP32)</f>
        <v/>
      </c>
      <c r="AK32" s="237" t="str">
        <f ca="1">AppsAll($A32&lt;TODAY(),'За день'!AQ32)</f>
        <v/>
      </c>
      <c r="AL32" s="253">
        <f>'За день'!AR32</f>
        <v>0</v>
      </c>
      <c r="AM32" s="239" t="str">
        <f ca="1">'За день'!AS32</f>
        <v/>
      </c>
    </row>
    <row r="33" spans="1:73" ht="15.75" thickBot="1">
      <c r="A33" s="240">
        <f>'За день'!A33</f>
        <v>45467</v>
      </c>
      <c r="B33" s="241" t="str">
        <f ca="1">'За день'!B33</f>
        <v/>
      </c>
      <c r="C33" s="241" t="str">
        <f ca="1">'За день'!C33</f>
        <v/>
      </c>
      <c r="D33" s="241" t="str">
        <f ca="1">'За день'!D33</f>
        <v/>
      </c>
      <c r="E33" s="241" t="str">
        <f ca="1">'За день'!E33</f>
        <v/>
      </c>
      <c r="F33" s="241" t="str">
        <f ca="1">'За день'!F33</f>
        <v/>
      </c>
      <c r="G33" s="241"/>
      <c r="H33" s="241" t="str">
        <f ca="1">'За день'!H33</f>
        <v/>
      </c>
      <c r="I33" s="242" t="str">
        <f ca="1">AppsAll(A33&lt;TODAY(),SUM('За день'!I33,'За день'!L33)-IF(L33="",0,L33))</f>
        <v/>
      </c>
      <c r="J33" s="242"/>
      <c r="K33" s="243"/>
      <c r="L33" s="232" t="str">
        <f t="shared" ca="1" si="0"/>
        <v/>
      </c>
      <c r="M33" s="244" t="str">
        <f t="shared" ca="1" si="1"/>
        <v/>
      </c>
      <c r="N33" s="245" t="str">
        <f ca="1">'За день'!O33</f>
        <v/>
      </c>
      <c r="O33" s="246" t="str">
        <f t="shared" ca="1" si="2"/>
        <v/>
      </c>
      <c r="P33" s="245" t="str">
        <f t="shared" ca="1" si="3"/>
        <v/>
      </c>
      <c r="Q33" s="247" t="str">
        <f t="shared" ca="1" si="4"/>
        <v/>
      </c>
      <c r="R33" s="246" t="str">
        <f t="shared" ca="1" si="5"/>
        <v/>
      </c>
      <c r="S33" s="248" t="str">
        <f t="shared" ca="1" si="6"/>
        <v/>
      </c>
      <c r="T33" s="247" t="str">
        <f t="shared" ca="1" si="7"/>
        <v/>
      </c>
      <c r="U33" s="247" t="str">
        <f t="shared" ca="1" si="8"/>
        <v/>
      </c>
      <c r="V33" s="246" t="str">
        <f t="shared" ca="1" si="9"/>
        <v/>
      </c>
      <c r="W33" s="170" t="str">
        <f t="shared" ca="1" si="10"/>
        <v/>
      </c>
      <c r="X33" s="245"/>
      <c r="Y33" s="246"/>
      <c r="Z33" s="245"/>
      <c r="AA33" s="247"/>
      <c r="AB33" s="246"/>
      <c r="AC33" s="249" t="str">
        <f t="shared" ca="1" si="11"/>
        <v/>
      </c>
      <c r="AD33" s="250" t="str">
        <f ca="1">AppsAll($A33&lt;TODAY(),'За день'!AJ33)</f>
        <v/>
      </c>
      <c r="AE33" s="251" t="str">
        <f ca="1">AppsAll($A33&lt;TODAY(),'За день'!AK33)</f>
        <v/>
      </c>
      <c r="AF33" s="252" t="str">
        <f ca="1">AppsAll($A33&lt;TODAY(),'За день'!AL33)</f>
        <v/>
      </c>
      <c r="AG33" s="237" t="str">
        <f ca="1">AppsAll($A33&lt;TODAY(),'За день'!AM33)</f>
        <v/>
      </c>
      <c r="AH33" s="250" t="str">
        <f ca="1">AppsAll($A33&lt;TODAY(),'За день'!AN33)</f>
        <v/>
      </c>
      <c r="AI33" s="251" t="str">
        <f ca="1">AppsAll($A33&lt;TODAY(),'За день'!AO33)</f>
        <v/>
      </c>
      <c r="AJ33" s="252" t="str">
        <f ca="1">AppsAll($A33&lt;TODAY(),'За день'!AP33)</f>
        <v/>
      </c>
      <c r="AK33" s="237" t="str">
        <f ca="1">AppsAll($A33&lt;TODAY(),'За день'!AQ33)</f>
        <v/>
      </c>
      <c r="AL33" s="253">
        <f>'За день'!AR33</f>
        <v>0</v>
      </c>
      <c r="AM33" s="239" t="str">
        <f ca="1">'За день'!AS33</f>
        <v/>
      </c>
    </row>
    <row r="34" spans="1:73" ht="15.75" thickBot="1">
      <c r="A34" s="240">
        <f>'За день'!A34</f>
        <v>45468</v>
      </c>
      <c r="B34" s="241" t="str">
        <f ca="1">'За день'!B34</f>
        <v/>
      </c>
      <c r="C34" s="241" t="str">
        <f ca="1">'За день'!C34</f>
        <v/>
      </c>
      <c r="D34" s="241" t="str">
        <f ca="1">'За день'!D34</f>
        <v/>
      </c>
      <c r="E34" s="241" t="str">
        <f ca="1">'За день'!E34</f>
        <v/>
      </c>
      <c r="F34" s="241" t="str">
        <f ca="1">'За день'!F34</f>
        <v/>
      </c>
      <c r="G34" s="241"/>
      <c r="H34" s="241" t="str">
        <f ca="1">'За день'!H34</f>
        <v/>
      </c>
      <c r="I34" s="242" t="str">
        <f ca="1">AppsAll(A34&lt;TODAY(),SUM('За день'!I34,'За день'!L34)-IF(L34="",0,L34))</f>
        <v/>
      </c>
      <c r="J34" s="242"/>
      <c r="K34" s="243"/>
      <c r="L34" s="232" t="str">
        <f t="shared" ca="1" si="0"/>
        <v/>
      </c>
      <c r="M34" s="244" t="str">
        <f t="shared" ca="1" si="1"/>
        <v/>
      </c>
      <c r="N34" s="245" t="str">
        <f ca="1">'За день'!O34</f>
        <v/>
      </c>
      <c r="O34" s="246" t="str">
        <f t="shared" ca="1" si="2"/>
        <v/>
      </c>
      <c r="P34" s="245" t="str">
        <f t="shared" ca="1" si="3"/>
        <v/>
      </c>
      <c r="Q34" s="247" t="str">
        <f t="shared" ca="1" si="4"/>
        <v/>
      </c>
      <c r="R34" s="246" t="str">
        <f t="shared" ca="1" si="5"/>
        <v/>
      </c>
      <c r="S34" s="248" t="str">
        <f t="shared" ca="1" si="6"/>
        <v/>
      </c>
      <c r="T34" s="247" t="str">
        <f t="shared" ca="1" si="7"/>
        <v/>
      </c>
      <c r="U34" s="247" t="str">
        <f t="shared" ca="1" si="8"/>
        <v/>
      </c>
      <c r="V34" s="246" t="str">
        <f t="shared" ca="1" si="9"/>
        <v/>
      </c>
      <c r="W34" s="170" t="str">
        <f t="shared" ca="1" si="10"/>
        <v/>
      </c>
      <c r="X34" s="245"/>
      <c r="Y34" s="246"/>
      <c r="Z34" s="245"/>
      <c r="AA34" s="247"/>
      <c r="AB34" s="246"/>
      <c r="AC34" s="249" t="str">
        <f t="shared" ca="1" si="11"/>
        <v/>
      </c>
      <c r="AD34" s="250" t="str">
        <f ca="1">AppsAll($A34&lt;TODAY(),'За день'!AJ34)</f>
        <v/>
      </c>
      <c r="AE34" s="251" t="str">
        <f ca="1">AppsAll($A34&lt;TODAY(),'За день'!AK34)</f>
        <v/>
      </c>
      <c r="AF34" s="252" t="str">
        <f ca="1">AppsAll($A34&lt;TODAY(),'За день'!AL34)</f>
        <v/>
      </c>
      <c r="AG34" s="237" t="str">
        <f ca="1">AppsAll($A34&lt;TODAY(),'За день'!AM34)</f>
        <v/>
      </c>
      <c r="AH34" s="250" t="str">
        <f ca="1">AppsAll($A34&lt;TODAY(),'За день'!AN34)</f>
        <v/>
      </c>
      <c r="AI34" s="251" t="str">
        <f ca="1">AppsAll($A34&lt;TODAY(),'За день'!AO34)</f>
        <v/>
      </c>
      <c r="AJ34" s="252" t="str">
        <f ca="1">AppsAll($A34&lt;TODAY(),'За день'!AP34)</f>
        <v/>
      </c>
      <c r="AK34" s="237" t="str">
        <f ca="1">AppsAll($A34&lt;TODAY(),'За день'!AQ34)</f>
        <v/>
      </c>
      <c r="AL34" s="253">
        <f>'За день'!AR34</f>
        <v>0</v>
      </c>
      <c r="AM34" s="239" t="str">
        <f ca="1">'За день'!AS34</f>
        <v/>
      </c>
    </row>
    <row r="35" spans="1:73" ht="15.75" thickBot="1">
      <c r="A35" s="240">
        <f>'За день'!A35</f>
        <v>45469</v>
      </c>
      <c r="B35" s="241" t="str">
        <f ca="1">'За день'!B35</f>
        <v/>
      </c>
      <c r="C35" s="241" t="str">
        <f ca="1">'За день'!C35</f>
        <v/>
      </c>
      <c r="D35" s="241" t="str">
        <f ca="1">'За день'!D35</f>
        <v/>
      </c>
      <c r="E35" s="241" t="str">
        <f ca="1">'За день'!E35</f>
        <v/>
      </c>
      <c r="F35" s="241" t="str">
        <f ca="1">'За день'!F35</f>
        <v/>
      </c>
      <c r="G35" s="241"/>
      <c r="H35" s="241" t="str">
        <f ca="1">'За день'!H35</f>
        <v/>
      </c>
      <c r="I35" s="242" t="str">
        <f ca="1">AppsAll(A35&lt;TODAY(),SUM('За день'!I35,'За день'!L35)-IF(L35="",0,L35))</f>
        <v/>
      </c>
      <c r="J35" s="242"/>
      <c r="K35" s="243"/>
      <c r="L35" s="232" t="str">
        <f t="shared" ca="1" si="0"/>
        <v/>
      </c>
      <c r="M35" s="244" t="str">
        <f t="shared" ca="1" si="1"/>
        <v/>
      </c>
      <c r="N35" s="245" t="str">
        <f ca="1">'За день'!O35</f>
        <v/>
      </c>
      <c r="O35" s="246" t="str">
        <f t="shared" ca="1" si="2"/>
        <v/>
      </c>
      <c r="P35" s="245" t="str">
        <f t="shared" ca="1" si="3"/>
        <v/>
      </c>
      <c r="Q35" s="247" t="str">
        <f t="shared" ca="1" si="4"/>
        <v/>
      </c>
      <c r="R35" s="246" t="str">
        <f t="shared" ca="1" si="5"/>
        <v/>
      </c>
      <c r="S35" s="248" t="str">
        <f t="shared" ca="1" si="6"/>
        <v/>
      </c>
      <c r="T35" s="247" t="str">
        <f t="shared" ca="1" si="7"/>
        <v/>
      </c>
      <c r="U35" s="247" t="str">
        <f t="shared" ca="1" si="8"/>
        <v/>
      </c>
      <c r="V35" s="246" t="str">
        <f t="shared" ca="1" si="9"/>
        <v/>
      </c>
      <c r="W35" s="170" t="str">
        <f t="shared" ca="1" si="10"/>
        <v/>
      </c>
      <c r="X35" s="245"/>
      <c r="Y35" s="246"/>
      <c r="Z35" s="245"/>
      <c r="AA35" s="247"/>
      <c r="AB35" s="246"/>
      <c r="AC35" s="249" t="str">
        <f t="shared" ca="1" si="11"/>
        <v/>
      </c>
      <c r="AD35" s="250" t="str">
        <f ca="1">AppsAll($A35&lt;TODAY(),'За день'!AJ35)</f>
        <v/>
      </c>
      <c r="AE35" s="251" t="str">
        <f ca="1">AppsAll($A35&lt;TODAY(),'За день'!AK35)</f>
        <v/>
      </c>
      <c r="AF35" s="252" t="str">
        <f ca="1">AppsAll($A35&lt;TODAY(),'За день'!AL35)</f>
        <v/>
      </c>
      <c r="AG35" s="237" t="str">
        <f ca="1">AppsAll($A35&lt;TODAY(),'За день'!AM35)</f>
        <v/>
      </c>
      <c r="AH35" s="250" t="str">
        <f ca="1">AppsAll($A35&lt;TODAY(),'За день'!AN35)</f>
        <v/>
      </c>
      <c r="AI35" s="251" t="str">
        <f ca="1">AppsAll($A35&lt;TODAY(),'За день'!AO35)</f>
        <v/>
      </c>
      <c r="AJ35" s="252" t="str">
        <f ca="1">AppsAll($A35&lt;TODAY(),'За день'!AP35)</f>
        <v/>
      </c>
      <c r="AK35" s="237" t="str">
        <f ca="1">AppsAll($A35&lt;TODAY(),'За день'!AQ35)</f>
        <v/>
      </c>
      <c r="AL35" s="253">
        <f>'За день'!AR35</f>
        <v>0</v>
      </c>
      <c r="AM35" s="239" t="str">
        <f ca="1">'За день'!AS35</f>
        <v/>
      </c>
    </row>
    <row r="36" spans="1:73" ht="15.75" thickBot="1">
      <c r="A36" s="240">
        <f>'За день'!A36</f>
        <v>45470</v>
      </c>
      <c r="B36" s="241" t="str">
        <f ca="1">'За день'!B36</f>
        <v/>
      </c>
      <c r="C36" s="241" t="str">
        <f ca="1">'За день'!C36</f>
        <v/>
      </c>
      <c r="D36" s="241" t="str">
        <f ca="1">'За день'!D36</f>
        <v/>
      </c>
      <c r="E36" s="241" t="str">
        <f ca="1">'За день'!E36</f>
        <v/>
      </c>
      <c r="F36" s="241" t="str">
        <f ca="1">'За день'!F36</f>
        <v/>
      </c>
      <c r="G36" s="241"/>
      <c r="H36" s="241" t="str">
        <f ca="1">'За день'!H36</f>
        <v/>
      </c>
      <c r="I36" s="242" t="str">
        <f ca="1">AppsAll(A36&lt;TODAY(),SUM('За день'!I36,'За день'!L36)-IF(L36="",0,L36))</f>
        <v/>
      </c>
      <c r="J36" s="242"/>
      <c r="K36" s="243"/>
      <c r="L36" s="232" t="str">
        <f t="shared" ca="1" si="0"/>
        <v/>
      </c>
      <c r="M36" s="244" t="str">
        <f t="shared" ca="1" si="1"/>
        <v/>
      </c>
      <c r="N36" s="245" t="str">
        <f ca="1">'За день'!O36</f>
        <v/>
      </c>
      <c r="O36" s="246" t="str">
        <f t="shared" ca="1" si="2"/>
        <v/>
      </c>
      <c r="P36" s="245" t="str">
        <f t="shared" ca="1" si="3"/>
        <v/>
      </c>
      <c r="Q36" s="247" t="str">
        <f t="shared" ca="1" si="4"/>
        <v/>
      </c>
      <c r="R36" s="246" t="str">
        <f t="shared" ca="1" si="5"/>
        <v/>
      </c>
      <c r="S36" s="248" t="str">
        <f t="shared" ca="1" si="6"/>
        <v/>
      </c>
      <c r="T36" s="247" t="str">
        <f t="shared" ca="1" si="7"/>
        <v/>
      </c>
      <c r="U36" s="247" t="str">
        <f t="shared" ca="1" si="8"/>
        <v/>
      </c>
      <c r="V36" s="246" t="str">
        <f t="shared" ca="1" si="9"/>
        <v/>
      </c>
      <c r="W36" s="170" t="str">
        <f t="shared" ca="1" si="10"/>
        <v/>
      </c>
      <c r="X36" s="245"/>
      <c r="Y36" s="246"/>
      <c r="Z36" s="245"/>
      <c r="AA36" s="247"/>
      <c r="AB36" s="246"/>
      <c r="AC36" s="249" t="str">
        <f t="shared" ca="1" si="11"/>
        <v/>
      </c>
      <c r="AD36" s="250" t="str">
        <f ca="1">AppsAll($A36&lt;TODAY(),'За день'!AJ36)</f>
        <v/>
      </c>
      <c r="AE36" s="251" t="str">
        <f ca="1">AppsAll($A36&lt;TODAY(),'За день'!AK36)</f>
        <v/>
      </c>
      <c r="AF36" s="252" t="str">
        <f ca="1">AppsAll($A36&lt;TODAY(),'За день'!AL36)</f>
        <v/>
      </c>
      <c r="AG36" s="237" t="str">
        <f ca="1">AppsAll($A36&lt;TODAY(),'За день'!AM36)</f>
        <v/>
      </c>
      <c r="AH36" s="250" t="str">
        <f ca="1">AppsAll($A36&lt;TODAY(),'За день'!AN36)</f>
        <v/>
      </c>
      <c r="AI36" s="251" t="str">
        <f ca="1">AppsAll($A36&lt;TODAY(),'За день'!AO36)</f>
        <v/>
      </c>
      <c r="AJ36" s="252" t="str">
        <f ca="1">AppsAll($A36&lt;TODAY(),'За день'!AP36)</f>
        <v/>
      </c>
      <c r="AK36" s="237" t="str">
        <f ca="1">AppsAll($A36&lt;TODAY(),'За день'!AQ36)</f>
        <v/>
      </c>
      <c r="AL36" s="253">
        <f>'За день'!AR36</f>
        <v>0</v>
      </c>
      <c r="AM36" s="239" t="str">
        <f ca="1">'За день'!AS36</f>
        <v/>
      </c>
    </row>
    <row r="37" spans="1:73" ht="15.75" thickBot="1">
      <c r="A37" s="240">
        <f>'За день'!A37</f>
        <v>45471</v>
      </c>
      <c r="B37" s="241" t="str">
        <f ca="1">'За день'!B37</f>
        <v/>
      </c>
      <c r="C37" s="241" t="str">
        <f ca="1">'За день'!C37</f>
        <v/>
      </c>
      <c r="D37" s="241" t="str">
        <f ca="1">'За день'!D37</f>
        <v/>
      </c>
      <c r="E37" s="241" t="str">
        <f ca="1">'За день'!E37</f>
        <v/>
      </c>
      <c r="F37" s="241" t="str">
        <f ca="1">'За день'!F37</f>
        <v/>
      </c>
      <c r="G37" s="241"/>
      <c r="H37" s="241" t="str">
        <f ca="1">'За день'!H37</f>
        <v/>
      </c>
      <c r="I37" s="242" t="str">
        <f ca="1">AppsAll(A37&lt;TODAY(),SUM('За день'!I37,'За день'!L37)-IF(L37="",0,L37))</f>
        <v/>
      </c>
      <c r="J37" s="242"/>
      <c r="K37" s="243"/>
      <c r="L37" s="232" t="str">
        <f t="shared" ca="1" si="0"/>
        <v/>
      </c>
      <c r="M37" s="244" t="str">
        <f t="shared" ca="1" si="1"/>
        <v/>
      </c>
      <c r="N37" s="245" t="str">
        <f ca="1">'За день'!O37</f>
        <v/>
      </c>
      <c r="O37" s="246" t="str">
        <f t="shared" ca="1" si="2"/>
        <v/>
      </c>
      <c r="P37" s="245" t="str">
        <f t="shared" ca="1" si="3"/>
        <v/>
      </c>
      <c r="Q37" s="247" t="str">
        <f t="shared" ca="1" si="4"/>
        <v/>
      </c>
      <c r="R37" s="246" t="str">
        <f t="shared" ca="1" si="5"/>
        <v/>
      </c>
      <c r="S37" s="248" t="str">
        <f t="shared" ca="1" si="6"/>
        <v/>
      </c>
      <c r="T37" s="247" t="str">
        <f t="shared" ca="1" si="7"/>
        <v/>
      </c>
      <c r="U37" s="247" t="str">
        <f t="shared" ca="1" si="8"/>
        <v/>
      </c>
      <c r="V37" s="246" t="str">
        <f t="shared" ca="1" si="9"/>
        <v/>
      </c>
      <c r="W37" s="170" t="str">
        <f t="shared" ca="1" si="10"/>
        <v/>
      </c>
      <c r="X37" s="245"/>
      <c r="Y37" s="246"/>
      <c r="Z37" s="245"/>
      <c r="AA37" s="247"/>
      <c r="AB37" s="246"/>
      <c r="AC37" s="249" t="str">
        <f t="shared" ca="1" si="11"/>
        <v/>
      </c>
      <c r="AD37" s="250" t="str">
        <f ca="1">AppsAll($A37&lt;TODAY(),'За день'!AJ37)</f>
        <v/>
      </c>
      <c r="AE37" s="251" t="str">
        <f ca="1">AppsAll($A37&lt;TODAY(),'За день'!AK37)</f>
        <v/>
      </c>
      <c r="AF37" s="252" t="str">
        <f ca="1">AppsAll($A37&lt;TODAY(),'За день'!AL37)</f>
        <v/>
      </c>
      <c r="AG37" s="237" t="str">
        <f ca="1">AppsAll($A37&lt;TODAY(),'За день'!AM37)</f>
        <v/>
      </c>
      <c r="AH37" s="250" t="str">
        <f ca="1">AppsAll($A37&lt;TODAY(),'За день'!AN37)</f>
        <v/>
      </c>
      <c r="AI37" s="251" t="str">
        <f ca="1">AppsAll($A37&lt;TODAY(),'За день'!AO37)</f>
        <v/>
      </c>
      <c r="AJ37" s="252" t="str">
        <f ca="1">AppsAll($A37&lt;TODAY(),'За день'!AP37)</f>
        <v/>
      </c>
      <c r="AK37" s="237" t="str">
        <f ca="1">AppsAll($A37&lt;TODAY(),'За день'!AQ37)</f>
        <v/>
      </c>
      <c r="AL37" s="253">
        <f>'За день'!AR37</f>
        <v>0</v>
      </c>
      <c r="AM37" s="239" t="str">
        <f ca="1">'За день'!AS37</f>
        <v/>
      </c>
    </row>
    <row r="38" spans="1:73" ht="15.75" thickBot="1">
      <c r="A38" s="240">
        <f>'За день'!A38</f>
        <v>45472</v>
      </c>
      <c r="B38" s="241" t="str">
        <f ca="1">'За день'!B38</f>
        <v/>
      </c>
      <c r="C38" s="241" t="str">
        <f ca="1">'За день'!C38</f>
        <v/>
      </c>
      <c r="D38" s="241" t="str">
        <f ca="1">'За день'!D38</f>
        <v/>
      </c>
      <c r="E38" s="241" t="str">
        <f ca="1">'За день'!E38</f>
        <v/>
      </c>
      <c r="F38" s="241" t="str">
        <f ca="1">'За день'!F38</f>
        <v/>
      </c>
      <c r="G38" s="241"/>
      <c r="H38" s="241" t="str">
        <f ca="1">'За день'!H38</f>
        <v/>
      </c>
      <c r="I38" s="242" t="str">
        <f ca="1">AppsAll(A38&lt;TODAY(),SUM('За день'!I38,'За день'!L38)-IF(L38="",0,L38))</f>
        <v/>
      </c>
      <c r="J38" s="242"/>
      <c r="K38" s="243"/>
      <c r="L38" s="232" t="str">
        <f t="shared" ca="1" si="0"/>
        <v/>
      </c>
      <c r="M38" s="244" t="str">
        <f t="shared" ca="1" si="1"/>
        <v/>
      </c>
      <c r="N38" s="245" t="str">
        <f ca="1">'За день'!O38</f>
        <v/>
      </c>
      <c r="O38" s="246" t="str">
        <f t="shared" ca="1" si="2"/>
        <v/>
      </c>
      <c r="P38" s="245" t="str">
        <f t="shared" ca="1" si="3"/>
        <v/>
      </c>
      <c r="Q38" s="247" t="str">
        <f t="shared" ca="1" si="4"/>
        <v/>
      </c>
      <c r="R38" s="246" t="str">
        <f t="shared" ca="1" si="5"/>
        <v/>
      </c>
      <c r="S38" s="248" t="str">
        <f t="shared" ca="1" si="6"/>
        <v/>
      </c>
      <c r="T38" s="247" t="str">
        <f t="shared" ca="1" si="7"/>
        <v/>
      </c>
      <c r="U38" s="247" t="str">
        <f t="shared" ca="1" si="8"/>
        <v/>
      </c>
      <c r="V38" s="246" t="str">
        <f t="shared" ca="1" si="9"/>
        <v/>
      </c>
      <c r="W38" s="170" t="str">
        <f t="shared" ca="1" si="10"/>
        <v/>
      </c>
      <c r="X38" s="245"/>
      <c r="Y38" s="246"/>
      <c r="Z38" s="245"/>
      <c r="AA38" s="247"/>
      <c r="AB38" s="246"/>
      <c r="AC38" s="249" t="str">
        <f t="shared" ca="1" si="11"/>
        <v/>
      </c>
      <c r="AD38" s="250" t="str">
        <f ca="1">AppsAll($A38&lt;TODAY(),'За день'!AJ38)</f>
        <v/>
      </c>
      <c r="AE38" s="251" t="str">
        <f ca="1">AppsAll($A38&lt;TODAY(),'За день'!AK38)</f>
        <v/>
      </c>
      <c r="AF38" s="252" t="str">
        <f ca="1">AppsAll($A38&lt;TODAY(),'За день'!AL38)</f>
        <v/>
      </c>
      <c r="AG38" s="237" t="str">
        <f ca="1">AppsAll($A38&lt;TODAY(),'За день'!AM38)</f>
        <v/>
      </c>
      <c r="AH38" s="250" t="str">
        <f ca="1">AppsAll($A38&lt;TODAY(),'За день'!AN38)</f>
        <v/>
      </c>
      <c r="AI38" s="251" t="str">
        <f ca="1">AppsAll($A38&lt;TODAY(),'За день'!AO38)</f>
        <v/>
      </c>
      <c r="AJ38" s="252" t="str">
        <f ca="1">AppsAll($A38&lt;TODAY(),'За день'!AP38)</f>
        <v/>
      </c>
      <c r="AK38" s="237" t="str">
        <f ca="1">AppsAll($A38&lt;TODAY(),'За день'!AQ38)</f>
        <v/>
      </c>
      <c r="AL38" s="253">
        <f>'За день'!AR38</f>
        <v>0</v>
      </c>
      <c r="AM38" s="239" t="str">
        <f ca="1">'За день'!AS38</f>
        <v/>
      </c>
    </row>
    <row r="39" spans="1:73" ht="15.75" thickBot="1">
      <c r="A39" s="240">
        <f>'За день'!A39</f>
        <v>45473</v>
      </c>
      <c r="B39" s="241" t="str">
        <f ca="1">'За день'!B39</f>
        <v/>
      </c>
      <c r="C39" s="241" t="str">
        <f ca="1">'За день'!C39</f>
        <v/>
      </c>
      <c r="D39" s="241" t="str">
        <f ca="1">'За день'!D39</f>
        <v/>
      </c>
      <c r="E39" s="241" t="str">
        <f ca="1">'За день'!E39</f>
        <v/>
      </c>
      <c r="F39" s="241" t="str">
        <f ca="1">'За день'!F39</f>
        <v/>
      </c>
      <c r="G39" s="241"/>
      <c r="H39" s="241" t="str">
        <f ca="1">'За день'!H39</f>
        <v/>
      </c>
      <c r="I39" s="242" t="str">
        <f ca="1">AppsAll(A39&lt;TODAY(),SUM('За день'!I39,'За день'!L39)-IF(L39="",0,L39))</f>
        <v/>
      </c>
      <c r="J39" s="242"/>
      <c r="K39" s="243"/>
      <c r="L39" s="232" t="str">
        <f t="shared" ca="1" si="0"/>
        <v/>
      </c>
      <c r="M39" s="244" t="str">
        <f t="shared" ca="1" si="1"/>
        <v/>
      </c>
      <c r="N39" s="245" t="str">
        <f ca="1">'За день'!O39</f>
        <v/>
      </c>
      <c r="O39" s="246" t="str">
        <f t="shared" ca="1" si="2"/>
        <v/>
      </c>
      <c r="P39" s="245" t="str">
        <f t="shared" ca="1" si="3"/>
        <v/>
      </c>
      <c r="Q39" s="247" t="str">
        <f t="shared" ca="1" si="4"/>
        <v/>
      </c>
      <c r="R39" s="246" t="str">
        <f t="shared" ca="1" si="5"/>
        <v/>
      </c>
      <c r="S39" s="248" t="str">
        <f t="shared" ca="1" si="6"/>
        <v/>
      </c>
      <c r="T39" s="247" t="str">
        <f t="shared" ca="1" si="7"/>
        <v/>
      </c>
      <c r="U39" s="247" t="str">
        <f t="shared" ca="1" si="8"/>
        <v/>
      </c>
      <c r="V39" s="246" t="str">
        <f t="shared" ca="1" si="9"/>
        <v/>
      </c>
      <c r="W39" s="170" t="str">
        <f t="shared" ca="1" si="10"/>
        <v/>
      </c>
      <c r="X39" s="245"/>
      <c r="Y39" s="246"/>
      <c r="Z39" s="245"/>
      <c r="AA39" s="247"/>
      <c r="AB39" s="246"/>
      <c r="AC39" s="249" t="str">
        <f t="shared" ca="1" si="11"/>
        <v/>
      </c>
      <c r="AD39" s="250" t="str">
        <f ca="1">AppsAll($A39&lt;TODAY(),'За день'!AJ39)</f>
        <v/>
      </c>
      <c r="AE39" s="251" t="str">
        <f ca="1">AppsAll($A39&lt;TODAY(),'За день'!AK39)</f>
        <v/>
      </c>
      <c r="AF39" s="252" t="str">
        <f ca="1">AppsAll($A39&lt;TODAY(),'За день'!AL39)</f>
        <v/>
      </c>
      <c r="AG39" s="237" t="str">
        <f ca="1">AppsAll($A39&lt;TODAY(),'За день'!AM39)</f>
        <v/>
      </c>
      <c r="AH39" s="250" t="str">
        <f ca="1">AppsAll($A39&lt;TODAY(),'За день'!AN39)</f>
        <v/>
      </c>
      <c r="AI39" s="251" t="str">
        <f ca="1">AppsAll($A39&lt;TODAY(),'За день'!AO39)</f>
        <v/>
      </c>
      <c r="AJ39" s="252" t="str">
        <f ca="1">AppsAll($A39&lt;TODAY(),'За день'!AP39)</f>
        <v/>
      </c>
      <c r="AK39" s="237" t="str">
        <f ca="1">AppsAll($A39&lt;TODAY(),'За день'!AQ39)</f>
        <v/>
      </c>
      <c r="AL39" s="253">
        <f>'За день'!AR39</f>
        <v>0</v>
      </c>
      <c r="AM39" s="239" t="str">
        <f ca="1">'За день'!AS39</f>
        <v/>
      </c>
    </row>
    <row r="40" spans="1:73" ht="15.75" thickBot="1">
      <c r="A40" s="240">
        <f>'За день'!A40</f>
        <v>45474</v>
      </c>
      <c r="B40" s="241" t="str">
        <f ca="1">'За день'!B40</f>
        <v/>
      </c>
      <c r="C40" s="241" t="str">
        <f ca="1">'За день'!C40</f>
        <v/>
      </c>
      <c r="D40" s="241" t="str">
        <f ca="1">'За день'!D40</f>
        <v/>
      </c>
      <c r="E40" s="241" t="str">
        <f ca="1">'За день'!E40</f>
        <v/>
      </c>
      <c r="F40" s="241" t="str">
        <f ca="1">'За день'!F40</f>
        <v/>
      </c>
      <c r="G40" s="241"/>
      <c r="H40" s="241" t="str">
        <f ca="1">'За день'!H40</f>
        <v/>
      </c>
      <c r="I40" s="242" t="str">
        <f ca="1">AppsAll(A40&lt;TODAY(),SUM('За день'!I40,'За день'!L40)-IF(L40="",0,L40))</f>
        <v/>
      </c>
      <c r="J40" s="256"/>
      <c r="K40" s="257"/>
      <c r="L40" s="258" t="str">
        <f t="shared" ca="1" si="0"/>
        <v/>
      </c>
      <c r="M40" s="259" t="str">
        <f t="shared" ca="1" si="1"/>
        <v/>
      </c>
      <c r="N40" s="260" t="str">
        <f ca="1">'За день'!O40</f>
        <v/>
      </c>
      <c r="O40" s="261" t="str">
        <f t="shared" ca="1" si="2"/>
        <v/>
      </c>
      <c r="P40" s="260" t="str">
        <f t="shared" ca="1" si="3"/>
        <v/>
      </c>
      <c r="Q40" s="262" t="str">
        <f t="shared" ca="1" si="4"/>
        <v/>
      </c>
      <c r="R40" s="261" t="str">
        <f t="shared" ca="1" si="5"/>
        <v/>
      </c>
      <c r="S40" s="263" t="str">
        <f t="shared" ca="1" si="6"/>
        <v/>
      </c>
      <c r="T40" s="262" t="str">
        <f t="shared" ca="1" si="7"/>
        <v/>
      </c>
      <c r="U40" s="262" t="str">
        <f t="shared" ca="1" si="8"/>
        <v/>
      </c>
      <c r="V40" s="261" t="str">
        <f t="shared" ca="1" si="9"/>
        <v/>
      </c>
      <c r="W40" s="170" t="str">
        <f t="shared" ca="1" si="10"/>
        <v/>
      </c>
      <c r="X40" s="260"/>
      <c r="Y40" s="261"/>
      <c r="Z40" s="260"/>
      <c r="AA40" s="262"/>
      <c r="AB40" s="261"/>
      <c r="AC40" s="264" t="str">
        <f t="shared" ca="1" si="11"/>
        <v/>
      </c>
      <c r="AD40" s="265" t="str">
        <f ca="1">AppsAll($A40&lt;TODAY(),'За день'!AJ40)</f>
        <v/>
      </c>
      <c r="AE40" s="266" t="str">
        <f ca="1">AppsAll($A40&lt;TODAY(),'За день'!AK40)</f>
        <v/>
      </c>
      <c r="AF40" s="267" t="str">
        <f ca="1">AppsAll($A40&lt;TODAY(),'За день'!AL40)</f>
        <v/>
      </c>
      <c r="AG40" s="237" t="str">
        <f ca="1">AppsAll($A40&lt;TODAY(),'За день'!AM40)</f>
        <v/>
      </c>
      <c r="AH40" s="268" t="str">
        <f ca="1">AppsAll($A40&lt;TODAY(),'За день'!AN40)</f>
        <v/>
      </c>
      <c r="AI40" s="269" t="str">
        <f ca="1">AppsAll($A40&lt;TODAY(),'За день'!AO40)</f>
        <v/>
      </c>
      <c r="AJ40" s="270" t="str">
        <f ca="1">AppsAll($A40&lt;TODAY(),'За день'!AP40)</f>
        <v/>
      </c>
      <c r="AK40" s="237" t="str">
        <f ca="1">AppsAll($A40&lt;TODAY(),'За день'!AQ40)</f>
        <v/>
      </c>
      <c r="AL40" s="271">
        <f>'За день'!AR40</f>
        <v>0</v>
      </c>
      <c r="AM40" s="239" t="str">
        <f ca="1">'За день'!AS40</f>
        <v/>
      </c>
    </row>
    <row r="41" spans="1:73" ht="16.5" thickBot="1">
      <c r="A41" s="272" t="s">
        <v>2018</v>
      </c>
      <c r="B41" s="273">
        <f t="shared" ref="B41:AK41" ca="1" si="12">SUM(B10:B40)</f>
        <v>483</v>
      </c>
      <c r="C41" s="274">
        <f t="shared" ca="1" si="12"/>
        <v>253</v>
      </c>
      <c r="D41" s="274">
        <f t="shared" ca="1" si="12"/>
        <v>104</v>
      </c>
      <c r="E41" s="274">
        <f t="shared" ca="1" si="12"/>
        <v>45</v>
      </c>
      <c r="F41" s="274">
        <f t="shared" ca="1" si="12"/>
        <v>75</v>
      </c>
      <c r="G41" s="274">
        <f t="shared" si="12"/>
        <v>0</v>
      </c>
      <c r="H41" s="274">
        <f t="shared" ca="1" si="12"/>
        <v>5</v>
      </c>
      <c r="I41" s="274">
        <f t="shared" ca="1" si="12"/>
        <v>210</v>
      </c>
      <c r="J41" s="274">
        <f t="shared" si="12"/>
        <v>0</v>
      </c>
      <c r="K41" s="274">
        <f t="shared" si="12"/>
        <v>0</v>
      </c>
      <c r="L41" s="275">
        <f t="shared" ca="1" si="12"/>
        <v>44</v>
      </c>
      <c r="M41" s="276">
        <f t="shared" ca="1" si="12"/>
        <v>27</v>
      </c>
      <c r="N41" s="274">
        <f t="shared" ca="1" si="12"/>
        <v>184</v>
      </c>
      <c r="O41" s="274">
        <f t="shared" ca="1" si="12"/>
        <v>18</v>
      </c>
      <c r="P41" s="274">
        <f t="shared" ca="1" si="12"/>
        <v>1</v>
      </c>
      <c r="Q41" s="274">
        <f t="shared" ca="1" si="12"/>
        <v>16</v>
      </c>
      <c r="R41" s="277">
        <f t="shared" ca="1" si="12"/>
        <v>0</v>
      </c>
      <c r="S41" s="273">
        <f t="shared" ca="1" si="12"/>
        <v>163.79999999999998</v>
      </c>
      <c r="T41" s="274">
        <f t="shared" ca="1" si="12"/>
        <v>158</v>
      </c>
      <c r="U41" s="274">
        <f t="shared" ca="1" si="12"/>
        <v>890</v>
      </c>
      <c r="V41" s="277">
        <f t="shared" ca="1" si="12"/>
        <v>36</v>
      </c>
      <c r="W41" s="278">
        <f t="shared" ca="1" si="12"/>
        <v>0</v>
      </c>
      <c r="X41" s="273">
        <f t="shared" si="12"/>
        <v>0</v>
      </c>
      <c r="Y41" s="277">
        <f t="shared" si="12"/>
        <v>0</v>
      </c>
      <c r="Z41" s="273">
        <f t="shared" si="12"/>
        <v>0</v>
      </c>
      <c r="AA41" s="274">
        <f t="shared" si="12"/>
        <v>0</v>
      </c>
      <c r="AB41" s="277">
        <f t="shared" si="12"/>
        <v>0</v>
      </c>
      <c r="AC41" s="278">
        <f t="shared" ca="1" si="12"/>
        <v>0</v>
      </c>
      <c r="AD41" s="279">
        <f t="shared" ca="1" si="12"/>
        <v>8740</v>
      </c>
      <c r="AE41" s="279">
        <f t="shared" ca="1" si="12"/>
        <v>0</v>
      </c>
      <c r="AF41" s="280">
        <f t="shared" ca="1" si="12"/>
        <v>0</v>
      </c>
      <c r="AG41" s="281">
        <f t="shared" ca="1" si="12"/>
        <v>8740</v>
      </c>
      <c r="AH41" s="279">
        <f t="shared" ca="1" si="12"/>
        <v>184</v>
      </c>
      <c r="AI41" s="282">
        <f t="shared" ca="1" si="12"/>
        <v>20</v>
      </c>
      <c r="AJ41" s="283">
        <f t="shared" ca="1" si="12"/>
        <v>25</v>
      </c>
      <c r="AK41" s="281">
        <f t="shared" ca="1" si="12"/>
        <v>179</v>
      </c>
      <c r="AL41" s="284">
        <f>AVERAGE(AL10:AL40)</f>
        <v>18.612903225806452</v>
      </c>
      <c r="AM41" s="285">
        <f ca="1">D41+E41+F41+G41+H41+I41+L41-B41</f>
        <v>0</v>
      </c>
    </row>
    <row r="43" spans="1:73">
      <c r="B43" s="286" t="s">
        <v>2019</v>
      </c>
    </row>
    <row r="44" spans="1:73">
      <c r="B44" s="286" t="s">
        <v>2020</v>
      </c>
      <c r="I44" s="427">
        <f ca="1">SUM('За день'!I31,'За день'!L31)-IFERROR(L31,0)</f>
        <v>18</v>
      </c>
    </row>
    <row r="47" spans="1:73" s="291" customFormat="1" ht="21" customHeight="1">
      <c r="A47" s="287" t="s">
        <v>2021</v>
      </c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8"/>
      <c r="M47" s="289"/>
      <c r="N47" s="289"/>
      <c r="O47" s="289"/>
      <c r="P47" s="289"/>
      <c r="Q47" s="289"/>
      <c r="R47" s="289"/>
      <c r="S47" s="290"/>
      <c r="T47" s="290"/>
      <c r="U47" s="290"/>
      <c r="V47" s="290"/>
      <c r="W47" s="290"/>
      <c r="X47" s="290"/>
      <c r="Y47" s="290"/>
      <c r="Z47" s="290"/>
      <c r="AA47" s="290"/>
      <c r="AB47" s="290"/>
      <c r="AC47" s="290"/>
      <c r="AD47" s="290"/>
      <c r="AE47" s="290"/>
      <c r="AF47" s="290"/>
      <c r="AG47" s="290"/>
      <c r="AH47" s="290"/>
      <c r="AI47" s="290"/>
      <c r="AJ47" s="290"/>
      <c r="AK47" s="290"/>
      <c r="AL47" s="290"/>
      <c r="AM47" s="290"/>
      <c r="AN47" s="290"/>
      <c r="AO47" s="290"/>
      <c r="AP47" s="290"/>
      <c r="AQ47" s="290"/>
      <c r="AR47" s="290"/>
      <c r="AS47" s="290"/>
      <c r="AT47" s="290"/>
      <c r="AU47" s="290"/>
      <c r="AX47" s="290"/>
      <c r="AY47" s="290"/>
      <c r="AZ47" s="290"/>
      <c r="BA47" s="290"/>
      <c r="BB47" s="290"/>
      <c r="BC47" s="290"/>
      <c r="BD47" s="290"/>
      <c r="BE47" s="290"/>
      <c r="BF47" s="290"/>
      <c r="BG47" s="290"/>
      <c r="BH47" s="290"/>
      <c r="BI47" s="290"/>
      <c r="BJ47" s="290"/>
      <c r="BK47" s="290"/>
      <c r="BL47" s="290"/>
      <c r="BM47" s="290"/>
      <c r="BN47" s="290"/>
      <c r="BO47" s="290"/>
      <c r="BP47" s="290"/>
      <c r="BQ47" s="290"/>
      <c r="BR47" s="290"/>
      <c r="BS47" s="290"/>
      <c r="BT47" s="290"/>
      <c r="BU47" s="290"/>
    </row>
    <row r="48" spans="1:73" s="291" customFormat="1" ht="21" customHeight="1">
      <c r="A48" s="287" t="s">
        <v>2022</v>
      </c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9"/>
      <c r="M48" s="289"/>
      <c r="N48" s="289"/>
      <c r="O48" s="289"/>
      <c r="P48" s="289"/>
      <c r="Q48" s="289"/>
      <c r="R48" s="289"/>
      <c r="S48" s="290"/>
      <c r="T48" s="290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90"/>
      <c r="AG48" s="290"/>
      <c r="AH48" s="290"/>
      <c r="AI48" s="290"/>
      <c r="AJ48" s="290"/>
      <c r="AK48" s="290"/>
      <c r="AL48" s="290"/>
      <c r="AM48" s="290"/>
      <c r="AN48" s="290"/>
      <c r="AO48" s="290"/>
      <c r="AP48" s="290"/>
      <c r="AQ48" s="290"/>
      <c r="AR48" s="290"/>
      <c r="AS48" s="290"/>
      <c r="AT48" s="290"/>
      <c r="AU48" s="290"/>
      <c r="AX48" s="290"/>
      <c r="AY48" s="290"/>
      <c r="AZ48" s="290"/>
      <c r="BA48" s="290"/>
      <c r="BB48" s="290"/>
      <c r="BC48" s="290"/>
      <c r="BD48" s="290"/>
      <c r="BE48" s="290"/>
      <c r="BF48" s="290"/>
      <c r="BG48" s="290"/>
      <c r="BH48" s="290"/>
      <c r="BI48" s="290"/>
      <c r="BJ48" s="290"/>
      <c r="BK48" s="290"/>
      <c r="BL48" s="290"/>
      <c r="BM48" s="290"/>
      <c r="BN48" s="290"/>
      <c r="BO48" s="290"/>
      <c r="BP48" s="290"/>
      <c r="BQ48" s="290"/>
      <c r="BR48" s="290"/>
      <c r="BS48" s="290"/>
      <c r="BT48" s="290"/>
      <c r="BU48" s="290"/>
    </row>
  </sheetData>
  <mergeCells count="51">
    <mergeCell ref="AI8:AI9"/>
    <mergeCell ref="AJ8:AJ9"/>
    <mergeCell ref="AK8:AK9"/>
    <mergeCell ref="AB8:AB9"/>
    <mergeCell ref="AD8:AD9"/>
    <mergeCell ref="AE8:AE9"/>
    <mergeCell ref="AF8:AF9"/>
    <mergeCell ref="AG8:AG9"/>
    <mergeCell ref="AH8:AH9"/>
    <mergeCell ref="W7:AB7"/>
    <mergeCell ref="AC7:AC9"/>
    <mergeCell ref="AD7:AG7"/>
    <mergeCell ref="AH7:AK7"/>
    <mergeCell ref="N8:N9"/>
    <mergeCell ref="O8:O9"/>
    <mergeCell ref="W8:W9"/>
    <mergeCell ref="X8:Y8"/>
    <mergeCell ref="Z8:Z9"/>
    <mergeCell ref="AA8:AA9"/>
    <mergeCell ref="S6:S9"/>
    <mergeCell ref="T6:T9"/>
    <mergeCell ref="U6:U9"/>
    <mergeCell ref="V6:V9"/>
    <mergeCell ref="P6:P9"/>
    <mergeCell ref="Q6:Q9"/>
    <mergeCell ref="M7:M9"/>
    <mergeCell ref="N7:O7"/>
    <mergeCell ref="K6:K9"/>
    <mergeCell ref="L6:L9"/>
    <mergeCell ref="M6:O6"/>
    <mergeCell ref="F6:F9"/>
    <mergeCell ref="G6:G9"/>
    <mergeCell ref="H6:H9"/>
    <mergeCell ref="I6:I9"/>
    <mergeCell ref="J6:J9"/>
    <mergeCell ref="A1:AM1"/>
    <mergeCell ref="A2:AM2"/>
    <mergeCell ref="A3:AM3"/>
    <mergeCell ref="A5:A9"/>
    <mergeCell ref="B5:K5"/>
    <mergeCell ref="L5:R5"/>
    <mergeCell ref="S5:V5"/>
    <mergeCell ref="W5:AC6"/>
    <mergeCell ref="AD5:AK6"/>
    <mergeCell ref="AL5:AL9"/>
    <mergeCell ref="R6:R9"/>
    <mergeCell ref="AM5:AM9"/>
    <mergeCell ref="B6:B9"/>
    <mergeCell ref="C6:C9"/>
    <mergeCell ref="D6:D9"/>
    <mergeCell ref="E6:E9"/>
  </mergeCells>
  <conditionalFormatting sqref="A10:AM40">
    <cfRule type="expression" dxfId="4" priority="2">
      <formula>$A10&gt;TODAY()</formula>
    </cfRule>
    <cfRule type="expression" dxfId="3" priority="1">
      <formula>$A10=TODAY()</formula>
    </cfRule>
    <cfRule type="expression" dxfId="2" priority="3">
      <formula>OR(WEEKDAY($A10)=1,WEEKDAY($A10)=7)</formula>
    </cfRule>
  </conditionalFormatting>
  <pageMargins left="0.7" right="0.7" top="0.75" bottom="0.75" header="0.3" footer="0.3"/>
  <pageSetup paperSize="9" scale="26" orientation="portrait" verticalDpi="300" r:id="rId1"/>
  <ignoredErrors>
    <ignoredError sqref="M10:V10 W10:AC40 M11:V40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7">
    <pageSetUpPr fitToPage="1"/>
  </sheetPr>
  <dimension ref="A1:AK42"/>
  <sheetViews>
    <sheetView showWhiteSpace="0" view="pageLayout" workbookViewId="0">
      <selection activeCell="Y11" sqref="Y11"/>
    </sheetView>
  </sheetViews>
  <sheetFormatPr defaultRowHeight="12.75"/>
  <cols>
    <col min="3" max="3" width="10.140625" bestFit="1" customWidth="1"/>
    <col min="4" max="65" width="3.7109375" customWidth="1"/>
  </cols>
  <sheetData>
    <row r="1" spans="1:37">
      <c r="A1" s="330">
        <v>1</v>
      </c>
      <c r="B1" s="331" t="s">
        <v>51</v>
      </c>
      <c r="C1" s="332">
        <v>110</v>
      </c>
      <c r="D1" s="357"/>
      <c r="E1" s="358"/>
      <c r="F1" s="358">
        <v>15</v>
      </c>
      <c r="G1" s="358">
        <v>33</v>
      </c>
      <c r="H1" s="359">
        <v>37</v>
      </c>
      <c r="I1" s="358">
        <v>86</v>
      </c>
      <c r="J1" s="358">
        <v>89</v>
      </c>
      <c r="K1" s="358"/>
      <c r="L1" s="358"/>
      <c r="M1" s="358">
        <v>148</v>
      </c>
      <c r="N1" s="358">
        <v>155</v>
      </c>
      <c r="O1" s="359">
        <v>175.21600000000001</v>
      </c>
      <c r="P1" s="359" t="s">
        <v>2072</v>
      </c>
      <c r="Q1" s="358">
        <v>232</v>
      </c>
      <c r="R1" s="358"/>
      <c r="S1" s="358"/>
      <c r="T1" s="359" t="s">
        <v>2074</v>
      </c>
      <c r="U1" s="358">
        <v>289</v>
      </c>
      <c r="V1" s="358">
        <v>308</v>
      </c>
      <c r="W1" s="358">
        <v>313</v>
      </c>
      <c r="X1" s="358">
        <v>336</v>
      </c>
      <c r="Y1" s="358"/>
      <c r="Z1" s="358"/>
      <c r="AA1" s="358"/>
      <c r="AB1" s="358"/>
      <c r="AC1" s="358"/>
      <c r="AD1" s="358"/>
      <c r="AE1" s="358"/>
      <c r="AF1" s="358"/>
      <c r="AG1" s="358"/>
      <c r="AH1" s="360"/>
      <c r="AK1" t="s">
        <v>2053</v>
      </c>
    </row>
    <row r="2" spans="1:37">
      <c r="A2" s="137">
        <v>2</v>
      </c>
      <c r="B2" s="51" t="s">
        <v>51</v>
      </c>
      <c r="C2" s="131">
        <v>232</v>
      </c>
      <c r="D2" s="361"/>
      <c r="E2" s="362"/>
      <c r="F2" s="363">
        <v>14</v>
      </c>
      <c r="G2" s="362">
        <v>32</v>
      </c>
      <c r="H2" s="362">
        <v>36</v>
      </c>
      <c r="I2" s="362">
        <v>84</v>
      </c>
      <c r="J2" s="362">
        <v>88</v>
      </c>
      <c r="K2" s="362"/>
      <c r="L2" s="362"/>
      <c r="M2" s="362">
        <v>147</v>
      </c>
      <c r="N2" s="362">
        <v>154</v>
      </c>
      <c r="O2" s="362">
        <v>174</v>
      </c>
      <c r="P2" s="363">
        <v>192</v>
      </c>
      <c r="Q2" s="362">
        <v>230</v>
      </c>
      <c r="R2" s="362"/>
      <c r="S2" s="362"/>
      <c r="T2" s="362">
        <v>234</v>
      </c>
      <c r="U2" s="362">
        <v>288</v>
      </c>
      <c r="V2" s="362">
        <v>307</v>
      </c>
      <c r="W2" s="362">
        <v>312</v>
      </c>
      <c r="X2" s="362">
        <v>365</v>
      </c>
      <c r="Y2" s="362"/>
      <c r="Z2" s="362"/>
      <c r="AA2" s="362"/>
      <c r="AB2" s="362"/>
      <c r="AC2" s="362"/>
      <c r="AD2" s="362"/>
      <c r="AE2" s="362"/>
      <c r="AF2" s="362"/>
      <c r="AG2" s="362"/>
      <c r="AH2" s="364"/>
      <c r="AK2" t="s">
        <v>2054</v>
      </c>
    </row>
    <row r="3" spans="1:37">
      <c r="A3" s="137">
        <v>3</v>
      </c>
      <c r="B3" s="51" t="s">
        <v>14</v>
      </c>
      <c r="C3" s="131">
        <v>192</v>
      </c>
      <c r="D3" s="361"/>
      <c r="E3" s="362"/>
      <c r="F3" s="363" t="s">
        <v>2070</v>
      </c>
      <c r="G3" s="362" t="s">
        <v>2070</v>
      </c>
      <c r="H3" s="362" t="s">
        <v>2070</v>
      </c>
      <c r="I3" s="363" t="s">
        <v>2070</v>
      </c>
      <c r="J3" s="363" t="s">
        <v>2070</v>
      </c>
      <c r="K3" s="363"/>
      <c r="L3" s="363"/>
      <c r="M3" s="363" t="s">
        <v>2070</v>
      </c>
      <c r="N3" s="362" t="s">
        <v>2070</v>
      </c>
      <c r="O3" s="363" t="s">
        <v>2070</v>
      </c>
      <c r="P3" s="363" t="s">
        <v>2070</v>
      </c>
      <c r="Q3" s="363" t="s">
        <v>2070</v>
      </c>
      <c r="R3" s="363"/>
      <c r="S3" s="363"/>
      <c r="T3" s="363" t="s">
        <v>2070</v>
      </c>
      <c r="U3" s="362" t="s">
        <v>2070</v>
      </c>
      <c r="V3" s="362" t="s">
        <v>2070</v>
      </c>
      <c r="W3" s="363" t="s">
        <v>2070</v>
      </c>
      <c r="X3" s="363" t="s">
        <v>2070</v>
      </c>
      <c r="Y3" s="363"/>
      <c r="Z3" s="363"/>
      <c r="AA3" s="363" t="s">
        <v>2070</v>
      </c>
      <c r="AB3" s="362" t="s">
        <v>2070</v>
      </c>
      <c r="AC3" s="362" t="s">
        <v>2070</v>
      </c>
      <c r="AD3" s="363" t="s">
        <v>2070</v>
      </c>
      <c r="AE3" s="363" t="s">
        <v>2070</v>
      </c>
      <c r="AF3" s="363"/>
      <c r="AG3" s="363"/>
      <c r="AH3" s="385" t="s">
        <v>2070</v>
      </c>
      <c r="AK3" t="s">
        <v>2055</v>
      </c>
    </row>
    <row r="4" spans="1:37">
      <c r="A4" s="137">
        <v>4</v>
      </c>
      <c r="B4" s="51" t="s">
        <v>14</v>
      </c>
      <c r="C4" s="131">
        <v>820</v>
      </c>
      <c r="D4" s="361"/>
      <c r="E4" s="362"/>
      <c r="F4" s="362">
        <v>16</v>
      </c>
      <c r="G4" s="362">
        <v>34.450000000000003</v>
      </c>
      <c r="H4" s="362">
        <v>38</v>
      </c>
      <c r="I4" s="362">
        <v>87</v>
      </c>
      <c r="J4" s="362">
        <v>90</v>
      </c>
      <c r="K4" s="362"/>
      <c r="L4" s="362"/>
      <c r="M4" s="362">
        <v>149</v>
      </c>
      <c r="N4" s="362">
        <v>157</v>
      </c>
      <c r="O4" s="362">
        <v>176</v>
      </c>
      <c r="P4" s="362">
        <v>195</v>
      </c>
      <c r="Q4" s="363" t="s">
        <v>2074</v>
      </c>
      <c r="R4" s="362"/>
      <c r="S4" s="362"/>
      <c r="T4" s="362">
        <v>235</v>
      </c>
      <c r="U4" s="362">
        <v>290</v>
      </c>
      <c r="V4" s="363">
        <v>309</v>
      </c>
      <c r="W4" s="362">
        <v>314</v>
      </c>
      <c r="X4" s="362">
        <v>667</v>
      </c>
      <c r="Y4" s="362"/>
      <c r="Z4" s="362"/>
      <c r="AA4" s="362"/>
      <c r="AB4" s="362"/>
      <c r="AC4" s="362"/>
      <c r="AD4" s="362"/>
      <c r="AE4" s="362"/>
      <c r="AF4" s="362"/>
      <c r="AG4" s="362"/>
      <c r="AH4" s="364"/>
      <c r="AK4" t="s">
        <v>2056</v>
      </c>
    </row>
    <row r="5" spans="1:37">
      <c r="A5" s="137">
        <v>5</v>
      </c>
      <c r="B5" s="51" t="s">
        <v>14</v>
      </c>
      <c r="C5" s="131">
        <v>1359</v>
      </c>
      <c r="D5" s="361"/>
      <c r="E5" s="362"/>
      <c r="F5" s="363" t="s">
        <v>2070</v>
      </c>
      <c r="G5" s="362" t="s">
        <v>2070</v>
      </c>
      <c r="H5" s="362" t="s">
        <v>2070</v>
      </c>
      <c r="I5" s="362" t="s">
        <v>2070</v>
      </c>
      <c r="J5" s="362" t="s">
        <v>2070</v>
      </c>
      <c r="K5" s="362"/>
      <c r="L5" s="362"/>
      <c r="M5" s="362" t="s">
        <v>2070</v>
      </c>
      <c r="N5" s="362" t="s">
        <v>2070</v>
      </c>
      <c r="O5" s="362" t="s">
        <v>2070</v>
      </c>
      <c r="P5" s="362" t="s">
        <v>2070</v>
      </c>
      <c r="Q5" s="362" t="s">
        <v>2070</v>
      </c>
      <c r="R5" s="363"/>
      <c r="S5" s="362"/>
      <c r="T5" s="362" t="s">
        <v>2070</v>
      </c>
      <c r="U5" s="362" t="s">
        <v>2070</v>
      </c>
      <c r="V5" s="362" t="s">
        <v>2070</v>
      </c>
      <c r="W5" s="362" t="s">
        <v>2070</v>
      </c>
      <c r="X5" s="362" t="s">
        <v>2070</v>
      </c>
      <c r="Y5" s="362"/>
      <c r="Z5" s="362"/>
      <c r="AA5" s="362" t="s">
        <v>2070</v>
      </c>
      <c r="AB5" s="362" t="s">
        <v>2070</v>
      </c>
      <c r="AC5" s="362" t="s">
        <v>2070</v>
      </c>
      <c r="AD5" s="362" t="s">
        <v>2070</v>
      </c>
      <c r="AE5" s="362" t="s">
        <v>2070</v>
      </c>
      <c r="AF5" s="362"/>
      <c r="AG5" s="362"/>
      <c r="AH5" s="364" t="s">
        <v>2070</v>
      </c>
      <c r="AK5" t="s">
        <v>2057</v>
      </c>
    </row>
    <row r="6" spans="1:37">
      <c r="A6" s="296">
        <v>6</v>
      </c>
      <c r="B6" s="297" t="s">
        <v>16</v>
      </c>
      <c r="C6" s="298">
        <v>1027</v>
      </c>
      <c r="D6" s="365"/>
      <c r="E6" s="366"/>
      <c r="F6" s="366" t="s">
        <v>2072</v>
      </c>
      <c r="G6" s="366" t="s">
        <v>2072</v>
      </c>
      <c r="H6" s="366" t="s">
        <v>2072</v>
      </c>
      <c r="I6" s="367">
        <v>72</v>
      </c>
      <c r="J6" s="366" t="s">
        <v>2072</v>
      </c>
      <c r="K6" s="367"/>
      <c r="L6" s="367"/>
      <c r="M6" s="366" t="s">
        <v>2072</v>
      </c>
      <c r="N6" s="366" t="s">
        <v>2072</v>
      </c>
      <c r="O6" s="366" t="s">
        <v>2072</v>
      </c>
      <c r="P6" s="366" t="s">
        <v>2072</v>
      </c>
      <c r="Q6" s="366" t="s">
        <v>2072</v>
      </c>
      <c r="R6" s="367"/>
      <c r="S6" s="367"/>
      <c r="T6" s="366" t="s">
        <v>2072</v>
      </c>
      <c r="U6" s="366" t="s">
        <v>2072</v>
      </c>
      <c r="V6" s="366" t="s">
        <v>2072</v>
      </c>
      <c r="W6" s="366" t="s">
        <v>2072</v>
      </c>
      <c r="X6" s="366" t="s">
        <v>2072</v>
      </c>
      <c r="Y6" s="367"/>
      <c r="Z6" s="367"/>
      <c r="AA6" s="366" t="s">
        <v>2072</v>
      </c>
      <c r="AB6" s="366" t="s">
        <v>2072</v>
      </c>
      <c r="AC6" s="366" t="s">
        <v>2072</v>
      </c>
      <c r="AD6" s="366" t="s">
        <v>2072</v>
      </c>
      <c r="AE6" s="366" t="s">
        <v>2072</v>
      </c>
      <c r="AF6" s="367"/>
      <c r="AG6" s="367"/>
      <c r="AH6" s="425" t="s">
        <v>2072</v>
      </c>
      <c r="AK6" t="s">
        <v>1961</v>
      </c>
    </row>
    <row r="7" spans="1:37">
      <c r="A7" s="137">
        <v>7</v>
      </c>
      <c r="B7" s="51" t="s">
        <v>16</v>
      </c>
      <c r="C7" s="132">
        <v>1031</v>
      </c>
      <c r="D7" s="369"/>
      <c r="E7" s="363"/>
      <c r="F7" s="363" t="s">
        <v>2072</v>
      </c>
      <c r="G7" s="362" t="s">
        <v>2072</v>
      </c>
      <c r="H7" s="363" t="s">
        <v>2074</v>
      </c>
      <c r="I7" s="362" t="s">
        <v>2072</v>
      </c>
      <c r="J7" s="362">
        <v>92</v>
      </c>
      <c r="K7" s="362"/>
      <c r="L7" s="362"/>
      <c r="M7" s="362">
        <v>154</v>
      </c>
      <c r="N7" s="362">
        <v>159</v>
      </c>
      <c r="O7" s="362">
        <v>177</v>
      </c>
      <c r="P7" s="362" t="s">
        <v>2072</v>
      </c>
      <c r="Q7" s="363" t="s">
        <v>2072</v>
      </c>
      <c r="R7" s="362"/>
      <c r="S7" s="362"/>
      <c r="T7" s="363" t="s">
        <v>2074</v>
      </c>
      <c r="U7" s="362">
        <v>292</v>
      </c>
      <c r="V7" s="362">
        <v>311</v>
      </c>
      <c r="W7" s="362">
        <v>319</v>
      </c>
      <c r="X7" s="363" t="s">
        <v>2072</v>
      </c>
      <c r="Y7" s="362"/>
      <c r="Z7" s="362"/>
      <c r="AA7" s="362" t="s">
        <v>2072</v>
      </c>
      <c r="AB7" s="362" t="s">
        <v>2072</v>
      </c>
      <c r="AC7" s="362" t="s">
        <v>2072</v>
      </c>
      <c r="AD7" s="362" t="s">
        <v>2072</v>
      </c>
      <c r="AE7" s="362" t="s">
        <v>2072</v>
      </c>
      <c r="AF7" s="362"/>
      <c r="AG7" s="362"/>
      <c r="AH7" s="364" t="s">
        <v>2072</v>
      </c>
      <c r="AK7" t="s">
        <v>1962</v>
      </c>
    </row>
    <row r="8" spans="1:37">
      <c r="A8" s="137">
        <v>8</v>
      </c>
      <c r="B8" s="51" t="s">
        <v>16</v>
      </c>
      <c r="C8" s="132">
        <v>2713</v>
      </c>
      <c r="D8" s="369"/>
      <c r="E8" s="362"/>
      <c r="F8" s="362">
        <v>17</v>
      </c>
      <c r="G8" s="362">
        <v>35</v>
      </c>
      <c r="H8" s="363" t="s">
        <v>2074</v>
      </c>
      <c r="I8" s="362">
        <v>87</v>
      </c>
      <c r="J8" s="362">
        <v>91</v>
      </c>
      <c r="K8" s="363"/>
      <c r="L8" s="362"/>
      <c r="M8" s="362">
        <v>151</v>
      </c>
      <c r="N8" s="362">
        <v>158</v>
      </c>
      <c r="O8" s="362">
        <v>201</v>
      </c>
      <c r="P8" s="362">
        <v>196</v>
      </c>
      <c r="Q8" s="363">
        <v>233</v>
      </c>
      <c r="R8" s="362"/>
      <c r="S8" s="362"/>
      <c r="T8" s="362">
        <v>236</v>
      </c>
      <c r="U8" s="362">
        <v>291</v>
      </c>
      <c r="V8" s="362">
        <v>310</v>
      </c>
      <c r="W8" s="362">
        <v>315</v>
      </c>
      <c r="X8" s="362">
        <v>368.36900000000003</v>
      </c>
      <c r="Y8" s="362"/>
      <c r="Z8" s="362"/>
      <c r="AA8" s="362"/>
      <c r="AB8" s="362"/>
      <c r="AC8" s="362"/>
      <c r="AD8" s="362"/>
      <c r="AE8" s="362"/>
      <c r="AF8" s="362"/>
      <c r="AG8" s="362"/>
      <c r="AH8" s="364"/>
      <c r="AK8" t="s">
        <v>2063</v>
      </c>
    </row>
    <row r="9" spans="1:37">
      <c r="A9" s="296">
        <v>9</v>
      </c>
      <c r="B9" s="297" t="s">
        <v>37</v>
      </c>
      <c r="C9" s="298">
        <v>48</v>
      </c>
      <c r="D9" s="365"/>
      <c r="E9" s="366"/>
      <c r="F9" s="366" t="s">
        <v>2070</v>
      </c>
      <c r="G9" s="366" t="s">
        <v>2070</v>
      </c>
      <c r="H9" s="366" t="s">
        <v>2070</v>
      </c>
      <c r="I9" s="367" t="s">
        <v>2070</v>
      </c>
      <c r="J9" s="366" t="s">
        <v>2070</v>
      </c>
      <c r="K9" s="366"/>
      <c r="L9" s="367"/>
      <c r="M9" s="367" t="s">
        <v>2070</v>
      </c>
      <c r="N9" s="366" t="s">
        <v>2070</v>
      </c>
      <c r="O9" s="366" t="s">
        <v>2070</v>
      </c>
      <c r="P9" s="366" t="s">
        <v>2070</v>
      </c>
      <c r="Q9" s="366" t="s">
        <v>2070</v>
      </c>
      <c r="R9" s="366"/>
      <c r="S9" s="367"/>
      <c r="T9" s="367" t="s">
        <v>2070</v>
      </c>
      <c r="U9" s="366" t="s">
        <v>2070</v>
      </c>
      <c r="V9" s="367" t="s">
        <v>2070</v>
      </c>
      <c r="W9" s="367" t="s">
        <v>2070</v>
      </c>
      <c r="X9" s="367" t="s">
        <v>2070</v>
      </c>
      <c r="Y9" s="367"/>
      <c r="Z9" s="367"/>
      <c r="AA9" s="367" t="s">
        <v>2070</v>
      </c>
      <c r="AB9" s="367" t="s">
        <v>2070</v>
      </c>
      <c r="AC9" s="367" t="s">
        <v>2070</v>
      </c>
      <c r="AD9" s="367" t="s">
        <v>2070</v>
      </c>
      <c r="AE9" s="367" t="s">
        <v>2070</v>
      </c>
      <c r="AF9" s="367"/>
      <c r="AG9" s="367"/>
      <c r="AH9" s="368" t="s">
        <v>2070</v>
      </c>
      <c r="AK9" t="s">
        <v>1963</v>
      </c>
    </row>
    <row r="10" spans="1:37">
      <c r="A10" s="137">
        <v>10</v>
      </c>
      <c r="B10" s="51" t="s">
        <v>37</v>
      </c>
      <c r="C10" s="132">
        <v>101</v>
      </c>
      <c r="D10" s="369"/>
      <c r="E10" s="363"/>
      <c r="F10" s="363" t="s">
        <v>2070</v>
      </c>
      <c r="G10" s="362" t="s">
        <v>2070</v>
      </c>
      <c r="H10" s="363" t="s">
        <v>2070</v>
      </c>
      <c r="I10" s="363" t="s">
        <v>2070</v>
      </c>
      <c r="J10" s="363" t="s">
        <v>2070</v>
      </c>
      <c r="K10" s="363"/>
      <c r="L10" s="362"/>
      <c r="M10" s="362" t="s">
        <v>2070</v>
      </c>
      <c r="N10" s="363" t="s">
        <v>2070</v>
      </c>
      <c r="O10" s="362" t="s">
        <v>2070</v>
      </c>
      <c r="P10" s="362" t="s">
        <v>2070</v>
      </c>
      <c r="Q10" s="363" t="s">
        <v>2070</v>
      </c>
      <c r="R10" s="363"/>
      <c r="S10" s="362"/>
      <c r="T10" s="362" t="s">
        <v>2070</v>
      </c>
      <c r="U10" s="363" t="s">
        <v>2070</v>
      </c>
      <c r="V10" s="362" t="s">
        <v>2070</v>
      </c>
      <c r="W10" s="362" t="s">
        <v>2070</v>
      </c>
      <c r="X10" s="362" t="s">
        <v>2070</v>
      </c>
      <c r="Y10" s="362"/>
      <c r="Z10" s="362"/>
      <c r="AA10" s="362" t="s">
        <v>2070</v>
      </c>
      <c r="AB10" s="362" t="s">
        <v>2070</v>
      </c>
      <c r="AC10" s="362" t="s">
        <v>2070</v>
      </c>
      <c r="AD10" s="362" t="s">
        <v>2070</v>
      </c>
      <c r="AE10" s="362" t="s">
        <v>2070</v>
      </c>
      <c r="AF10" s="362"/>
      <c r="AG10" s="362"/>
      <c r="AH10" s="364" t="s">
        <v>2070</v>
      </c>
      <c r="AK10" t="s">
        <v>2060</v>
      </c>
    </row>
    <row r="11" spans="1:37">
      <c r="A11" s="137">
        <v>11</v>
      </c>
      <c r="B11" s="51" t="s">
        <v>37</v>
      </c>
      <c r="C11" s="132">
        <v>190</v>
      </c>
      <c r="D11" s="369"/>
      <c r="E11" s="363"/>
      <c r="F11" s="363" t="s">
        <v>2070</v>
      </c>
      <c r="G11" s="363" t="s">
        <v>2070</v>
      </c>
      <c r="H11" s="363" t="s">
        <v>2070</v>
      </c>
      <c r="I11" s="363" t="s">
        <v>2070</v>
      </c>
      <c r="J11" s="363" t="s">
        <v>2070</v>
      </c>
      <c r="K11" s="363"/>
      <c r="L11" s="362"/>
      <c r="M11" s="362" t="s">
        <v>2070</v>
      </c>
      <c r="N11" s="363" t="s">
        <v>2070</v>
      </c>
      <c r="O11" s="363" t="s">
        <v>2070</v>
      </c>
      <c r="P11" s="363" t="s">
        <v>2070</v>
      </c>
      <c r="Q11" s="363" t="s">
        <v>2070</v>
      </c>
      <c r="R11" s="363"/>
      <c r="S11" s="362"/>
      <c r="T11" s="362" t="s">
        <v>2070</v>
      </c>
      <c r="U11" s="363" t="s">
        <v>2070</v>
      </c>
      <c r="V11" s="362" t="s">
        <v>2070</v>
      </c>
      <c r="W11" s="362" t="s">
        <v>2070</v>
      </c>
      <c r="X11" s="362" t="s">
        <v>2070</v>
      </c>
      <c r="Y11" s="362"/>
      <c r="Z11" s="362"/>
      <c r="AA11" s="362" t="s">
        <v>2070</v>
      </c>
      <c r="AB11" s="362" t="s">
        <v>2070</v>
      </c>
      <c r="AC11" s="362" t="s">
        <v>2070</v>
      </c>
      <c r="AD11" s="362" t="s">
        <v>2070</v>
      </c>
      <c r="AE11" s="362" t="s">
        <v>2070</v>
      </c>
      <c r="AF11" s="362"/>
      <c r="AG11" s="362"/>
      <c r="AH11" s="364" t="s">
        <v>2070</v>
      </c>
      <c r="AK11" t="s">
        <v>2064</v>
      </c>
    </row>
    <row r="12" spans="1:37">
      <c r="A12" s="137">
        <v>12</v>
      </c>
      <c r="B12" s="51" t="s">
        <v>24</v>
      </c>
      <c r="C12" s="131">
        <v>2592</v>
      </c>
      <c r="D12" s="361"/>
      <c r="E12" s="363"/>
      <c r="F12" s="363" t="s">
        <v>2071</v>
      </c>
      <c r="G12" s="362" t="s">
        <v>2071</v>
      </c>
      <c r="H12" s="362" t="s">
        <v>2071</v>
      </c>
      <c r="I12" s="362" t="s">
        <v>2071</v>
      </c>
      <c r="J12" s="362" t="s">
        <v>2071</v>
      </c>
      <c r="K12" s="362"/>
      <c r="L12" s="362"/>
      <c r="M12" s="362" t="s">
        <v>2071</v>
      </c>
      <c r="N12" s="362" t="s">
        <v>2071</v>
      </c>
      <c r="O12" s="362" t="s">
        <v>2071</v>
      </c>
      <c r="P12" s="362" t="s">
        <v>2071</v>
      </c>
      <c r="Q12" s="362" t="s">
        <v>2071</v>
      </c>
      <c r="R12" s="362"/>
      <c r="S12" s="362"/>
      <c r="T12" s="362" t="s">
        <v>2071</v>
      </c>
      <c r="U12" s="362" t="s">
        <v>2071</v>
      </c>
      <c r="V12" s="362" t="s">
        <v>2071</v>
      </c>
      <c r="W12" s="362" t="s">
        <v>2071</v>
      </c>
      <c r="X12" s="362" t="s">
        <v>2071</v>
      </c>
      <c r="Y12" s="362"/>
      <c r="Z12" s="362"/>
      <c r="AA12" s="362" t="s">
        <v>2071</v>
      </c>
      <c r="AB12" s="362" t="s">
        <v>2071</v>
      </c>
      <c r="AC12" s="362" t="s">
        <v>2071</v>
      </c>
      <c r="AD12" s="362" t="s">
        <v>2071</v>
      </c>
      <c r="AE12" s="362" t="s">
        <v>2071</v>
      </c>
      <c r="AF12" s="362"/>
      <c r="AG12" s="362"/>
      <c r="AH12" s="364" t="s">
        <v>2071</v>
      </c>
    </row>
    <row r="13" spans="1:37">
      <c r="A13" s="296">
        <v>13</v>
      </c>
      <c r="B13" s="299"/>
      <c r="C13" s="356"/>
      <c r="D13" s="370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7"/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8"/>
      <c r="AK13" t="s">
        <v>2066</v>
      </c>
    </row>
    <row r="14" spans="1:37" ht="13.5" thickBot="1">
      <c r="A14" s="296">
        <v>14</v>
      </c>
      <c r="B14" s="297"/>
      <c r="C14" s="300"/>
      <c r="D14" s="370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67"/>
      <c r="P14" s="367"/>
      <c r="Q14" s="367"/>
      <c r="R14" s="367"/>
      <c r="S14" s="367"/>
      <c r="T14" s="367"/>
      <c r="U14" s="367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7"/>
      <c r="AH14" s="368"/>
      <c r="AK14" s="124" t="s">
        <v>2065</v>
      </c>
    </row>
    <row r="15" spans="1:37" ht="13.5" thickBot="1">
      <c r="A15" s="296">
        <v>15</v>
      </c>
      <c r="B15" s="297"/>
      <c r="C15" s="300"/>
      <c r="D15" s="370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7"/>
      <c r="S15" s="367"/>
      <c r="T15" s="367"/>
      <c r="U15" s="367"/>
      <c r="V15" s="367"/>
      <c r="W15" s="367"/>
      <c r="X15" s="367"/>
      <c r="Y15" s="367"/>
      <c r="Z15" s="367"/>
      <c r="AA15" s="367"/>
      <c r="AB15" s="367"/>
      <c r="AC15" s="367"/>
      <c r="AD15" s="367"/>
      <c r="AE15" s="367"/>
      <c r="AF15" s="367"/>
      <c r="AG15" s="367"/>
      <c r="AH15" s="368"/>
      <c r="AJ15" s="124"/>
      <c r="AK15" s="355">
        <v>11</v>
      </c>
    </row>
    <row r="16" spans="1:37">
      <c r="A16" s="296">
        <v>16</v>
      </c>
      <c r="B16" s="297"/>
      <c r="C16" s="300"/>
      <c r="D16" s="370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367"/>
      <c r="U16" s="367"/>
      <c r="V16" s="367"/>
      <c r="W16" s="367"/>
      <c r="X16" s="367"/>
      <c r="Y16" s="367"/>
      <c r="Z16" s="367"/>
      <c r="AA16" s="367"/>
      <c r="AB16" s="367"/>
      <c r="AC16" s="367"/>
      <c r="AD16" s="367"/>
      <c r="AE16" s="367"/>
      <c r="AF16" s="367"/>
      <c r="AG16" s="367"/>
      <c r="AH16" s="368"/>
    </row>
    <row r="17" spans="1:34">
      <c r="A17" s="296">
        <v>17</v>
      </c>
      <c r="B17" s="297"/>
      <c r="C17" s="300"/>
      <c r="D17" s="370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367"/>
      <c r="T17" s="367"/>
      <c r="U17" s="367"/>
      <c r="V17" s="367"/>
      <c r="W17" s="367"/>
      <c r="X17" s="367"/>
      <c r="Y17" s="367"/>
      <c r="Z17" s="367"/>
      <c r="AA17" s="367"/>
      <c r="AB17" s="367"/>
      <c r="AC17" s="367"/>
      <c r="AD17" s="367"/>
      <c r="AE17" s="367"/>
      <c r="AF17" s="367"/>
      <c r="AG17" s="367"/>
      <c r="AH17" s="368"/>
    </row>
    <row r="18" spans="1:34">
      <c r="A18" s="296">
        <v>18</v>
      </c>
      <c r="B18" s="297"/>
      <c r="C18" s="300"/>
      <c r="D18" s="370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8"/>
    </row>
    <row r="19" spans="1:34">
      <c r="A19" s="137">
        <v>19</v>
      </c>
      <c r="B19" s="125"/>
      <c r="C19" s="131"/>
      <c r="D19" s="361"/>
      <c r="E19" s="362"/>
      <c r="F19" s="362"/>
      <c r="G19" s="362"/>
      <c r="H19" s="362"/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62"/>
      <c r="V19" s="362"/>
      <c r="W19" s="362"/>
      <c r="X19" s="362"/>
      <c r="Y19" s="362"/>
      <c r="Z19" s="362"/>
      <c r="AA19" s="362"/>
      <c r="AB19" s="362"/>
      <c r="AC19" s="362"/>
      <c r="AD19" s="362"/>
      <c r="AE19" s="362"/>
      <c r="AF19" s="362"/>
      <c r="AG19" s="362"/>
      <c r="AH19" s="364"/>
    </row>
    <row r="20" spans="1:34" ht="13.5" thickBot="1">
      <c r="A20" s="302">
        <v>20</v>
      </c>
      <c r="B20" s="134"/>
      <c r="C20" s="333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3"/>
    </row>
    <row r="21" spans="1:34">
      <c r="A21" s="334">
        <v>21</v>
      </c>
      <c r="B21" s="335" t="s">
        <v>2040</v>
      </c>
      <c r="C21" s="336">
        <v>606</v>
      </c>
      <c r="D21" s="374"/>
      <c r="E21" s="375"/>
      <c r="F21" s="390">
        <v>25</v>
      </c>
      <c r="G21" s="375">
        <v>44</v>
      </c>
      <c r="H21" s="375">
        <v>58</v>
      </c>
      <c r="I21" s="390" t="s">
        <v>2072</v>
      </c>
      <c r="J21" s="390" t="s">
        <v>2072</v>
      </c>
      <c r="K21" s="390"/>
      <c r="L21" s="390"/>
      <c r="M21" s="390" t="s">
        <v>2072</v>
      </c>
      <c r="N21" s="390" t="s">
        <v>2072</v>
      </c>
      <c r="O21" s="390" t="s">
        <v>2072</v>
      </c>
      <c r="P21" s="390" t="s">
        <v>2072</v>
      </c>
      <c r="Q21" s="375">
        <v>246</v>
      </c>
      <c r="R21" s="375"/>
      <c r="S21" s="375"/>
      <c r="T21" s="375">
        <v>296</v>
      </c>
      <c r="U21" s="390" t="s">
        <v>2072</v>
      </c>
      <c r="V21" s="390" t="s">
        <v>2072</v>
      </c>
      <c r="W21" s="390" t="s">
        <v>2072</v>
      </c>
      <c r="X21" s="390" t="s">
        <v>2072</v>
      </c>
      <c r="Y21" s="375"/>
      <c r="Z21" s="375"/>
      <c r="AA21" s="375"/>
      <c r="AB21" s="375"/>
      <c r="AC21" s="375"/>
      <c r="AD21" s="375"/>
      <c r="AE21" s="375"/>
      <c r="AF21" s="375"/>
      <c r="AG21" s="375"/>
      <c r="AH21" s="376"/>
    </row>
    <row r="22" spans="1:34">
      <c r="A22" s="337">
        <v>22</v>
      </c>
      <c r="B22" s="51" t="s">
        <v>38</v>
      </c>
      <c r="C22" s="133">
        <v>418</v>
      </c>
      <c r="D22" s="377"/>
      <c r="E22" s="362"/>
      <c r="F22" s="363" t="s">
        <v>2072</v>
      </c>
      <c r="G22" s="362" t="s">
        <v>2072</v>
      </c>
      <c r="H22" s="362" t="s">
        <v>2072</v>
      </c>
      <c r="I22" s="362" t="s">
        <v>2072</v>
      </c>
      <c r="J22" s="362" t="s">
        <v>2072</v>
      </c>
      <c r="K22" s="362"/>
      <c r="L22" s="362"/>
      <c r="M22" s="362" t="s">
        <v>2072</v>
      </c>
      <c r="N22" s="362" t="s">
        <v>2072</v>
      </c>
      <c r="O22" s="362" t="s">
        <v>2072</v>
      </c>
      <c r="P22" s="362" t="s">
        <v>2072</v>
      </c>
      <c r="Q22" s="362" t="s">
        <v>2072</v>
      </c>
      <c r="R22" s="362"/>
      <c r="S22" s="362"/>
      <c r="T22" s="362" t="s">
        <v>2072</v>
      </c>
      <c r="U22" s="362" t="s">
        <v>2072</v>
      </c>
      <c r="V22" s="362" t="s">
        <v>2072</v>
      </c>
      <c r="W22" s="362" t="s">
        <v>2072</v>
      </c>
      <c r="X22" s="362" t="s">
        <v>2072</v>
      </c>
      <c r="Y22" s="362"/>
      <c r="Z22" s="362"/>
      <c r="AA22" s="362" t="s">
        <v>2072</v>
      </c>
      <c r="AB22" s="362" t="s">
        <v>2072</v>
      </c>
      <c r="AC22" s="362" t="s">
        <v>2072</v>
      </c>
      <c r="AD22" s="362" t="s">
        <v>2072</v>
      </c>
      <c r="AE22" s="362" t="s">
        <v>2072</v>
      </c>
      <c r="AF22" s="362"/>
      <c r="AG22" s="362"/>
      <c r="AH22" s="364" t="s">
        <v>2072</v>
      </c>
    </row>
    <row r="23" spans="1:34">
      <c r="A23" s="337">
        <v>23</v>
      </c>
      <c r="B23" s="51" t="s">
        <v>15</v>
      </c>
      <c r="C23" s="133">
        <v>28</v>
      </c>
      <c r="D23" s="377"/>
      <c r="E23" s="362"/>
      <c r="F23" s="363" t="s">
        <v>2072</v>
      </c>
      <c r="G23" s="362" t="s">
        <v>2072</v>
      </c>
      <c r="H23" s="362" t="s">
        <v>2072</v>
      </c>
      <c r="I23" s="362" t="s">
        <v>2072</v>
      </c>
      <c r="J23" s="362" t="s">
        <v>2072</v>
      </c>
      <c r="K23" s="362"/>
      <c r="L23" s="362"/>
      <c r="M23" s="362" t="s">
        <v>2072</v>
      </c>
      <c r="N23" s="362" t="s">
        <v>2072</v>
      </c>
      <c r="O23" s="362" t="s">
        <v>2072</v>
      </c>
      <c r="P23" s="362" t="s">
        <v>2072</v>
      </c>
      <c r="Q23" s="362" t="s">
        <v>2072</v>
      </c>
      <c r="R23" s="362"/>
      <c r="S23" s="362"/>
      <c r="T23" s="362" t="s">
        <v>2072</v>
      </c>
      <c r="U23" s="362" t="s">
        <v>2072</v>
      </c>
      <c r="V23" s="362" t="s">
        <v>2072</v>
      </c>
      <c r="W23" s="362" t="s">
        <v>2072</v>
      </c>
      <c r="X23" s="362" t="s">
        <v>2072</v>
      </c>
      <c r="Y23" s="362"/>
      <c r="Z23" s="362"/>
      <c r="AA23" s="362" t="s">
        <v>2072</v>
      </c>
      <c r="AB23" s="362" t="s">
        <v>2072</v>
      </c>
      <c r="AC23" s="362" t="s">
        <v>2072</v>
      </c>
      <c r="AD23" s="362" t="s">
        <v>2072</v>
      </c>
      <c r="AE23" s="362" t="s">
        <v>2072</v>
      </c>
      <c r="AF23" s="362"/>
      <c r="AG23" s="362"/>
      <c r="AH23" s="364" t="s">
        <v>2072</v>
      </c>
    </row>
    <row r="24" spans="1:34">
      <c r="A24" s="337">
        <v>24</v>
      </c>
      <c r="B24" s="51" t="s">
        <v>41</v>
      </c>
      <c r="C24" s="133">
        <v>284</v>
      </c>
      <c r="D24" s="377"/>
      <c r="E24" s="363"/>
      <c r="F24" s="363" t="s">
        <v>2071</v>
      </c>
      <c r="G24" s="362" t="s">
        <v>2071</v>
      </c>
      <c r="H24" s="362" t="s">
        <v>2071</v>
      </c>
      <c r="I24" s="362" t="s">
        <v>2071</v>
      </c>
      <c r="J24" s="362" t="s">
        <v>2071</v>
      </c>
      <c r="K24" s="362"/>
      <c r="L24" s="362"/>
      <c r="M24" s="362" t="s">
        <v>2071</v>
      </c>
      <c r="N24" s="362" t="s">
        <v>2071</v>
      </c>
      <c r="O24" s="362" t="s">
        <v>2071</v>
      </c>
      <c r="P24" s="362" t="s">
        <v>2071</v>
      </c>
      <c r="Q24" s="362" t="s">
        <v>2071</v>
      </c>
      <c r="R24" s="362"/>
      <c r="S24" s="362"/>
      <c r="T24" s="362" t="s">
        <v>2071</v>
      </c>
      <c r="U24" s="362" t="s">
        <v>2071</v>
      </c>
      <c r="V24" s="362" t="s">
        <v>2071</v>
      </c>
      <c r="W24" s="362" t="s">
        <v>2071</v>
      </c>
      <c r="X24" s="362" t="s">
        <v>2071</v>
      </c>
      <c r="Y24" s="362"/>
      <c r="Z24" s="362"/>
      <c r="AA24" s="362" t="s">
        <v>2071</v>
      </c>
      <c r="AB24" s="362" t="s">
        <v>2071</v>
      </c>
      <c r="AC24" s="362" t="s">
        <v>2071</v>
      </c>
      <c r="AD24" s="362" t="s">
        <v>2071</v>
      </c>
      <c r="AE24" s="362" t="s">
        <v>2071</v>
      </c>
      <c r="AF24" s="362"/>
      <c r="AG24" s="362"/>
      <c r="AH24" s="364" t="s">
        <v>2071</v>
      </c>
    </row>
    <row r="25" spans="1:34">
      <c r="A25" s="337">
        <v>25</v>
      </c>
      <c r="B25" s="51"/>
      <c r="C25" s="133"/>
      <c r="D25" s="377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2"/>
      <c r="R25" s="362"/>
      <c r="S25" s="362"/>
      <c r="T25" s="362"/>
      <c r="U25" s="362"/>
      <c r="V25" s="362"/>
      <c r="W25" s="362"/>
      <c r="X25" s="362"/>
      <c r="Y25" s="362"/>
      <c r="Z25" s="362"/>
      <c r="AA25" s="362"/>
      <c r="AB25" s="362"/>
      <c r="AC25" s="362"/>
      <c r="AD25" s="362"/>
      <c r="AE25" s="362"/>
      <c r="AF25" s="362"/>
      <c r="AG25" s="362"/>
      <c r="AH25" s="364"/>
    </row>
    <row r="26" spans="1:34">
      <c r="A26" s="337">
        <v>26</v>
      </c>
      <c r="B26" s="51"/>
      <c r="C26" s="133"/>
      <c r="D26" s="377"/>
      <c r="E26" s="362"/>
      <c r="F26" s="362"/>
      <c r="G26" s="362"/>
      <c r="H26" s="362"/>
      <c r="I26" s="362"/>
      <c r="J26" s="362"/>
      <c r="K26" s="362"/>
      <c r="L26" s="362"/>
      <c r="M26" s="362"/>
      <c r="N26" s="362"/>
      <c r="O26" s="362"/>
      <c r="P26" s="362"/>
      <c r="Q26" s="362"/>
      <c r="R26" s="362"/>
      <c r="S26" s="362"/>
      <c r="T26" s="362"/>
      <c r="U26" s="362"/>
      <c r="V26" s="362"/>
      <c r="W26" s="362"/>
      <c r="X26" s="362"/>
      <c r="Y26" s="362"/>
      <c r="Z26" s="362"/>
      <c r="AA26" s="362"/>
      <c r="AB26" s="362"/>
      <c r="AC26" s="362"/>
      <c r="AD26" s="362"/>
      <c r="AE26" s="362"/>
      <c r="AF26" s="362"/>
      <c r="AG26" s="362"/>
      <c r="AH26" s="364"/>
    </row>
    <row r="27" spans="1:34">
      <c r="A27" s="337">
        <v>27</v>
      </c>
      <c r="B27" s="51"/>
      <c r="C27" s="133"/>
      <c r="D27" s="377"/>
      <c r="E27" s="362"/>
      <c r="F27" s="362"/>
      <c r="G27" s="362"/>
      <c r="H27" s="362"/>
      <c r="I27" s="362"/>
      <c r="J27" s="362"/>
      <c r="K27" s="362"/>
      <c r="L27" s="362"/>
      <c r="M27" s="362"/>
      <c r="N27" s="362"/>
      <c r="O27" s="362"/>
      <c r="P27" s="362"/>
      <c r="Q27" s="362"/>
      <c r="R27" s="362"/>
      <c r="S27" s="362"/>
      <c r="T27" s="362"/>
      <c r="U27" s="362"/>
      <c r="V27" s="362"/>
      <c r="W27" s="362"/>
      <c r="X27" s="362"/>
      <c r="Y27" s="362"/>
      <c r="Z27" s="362"/>
      <c r="AA27" s="362"/>
      <c r="AB27" s="362"/>
      <c r="AC27" s="362"/>
      <c r="AD27" s="362"/>
      <c r="AE27" s="362"/>
      <c r="AF27" s="362"/>
      <c r="AG27" s="362"/>
      <c r="AH27" s="364"/>
    </row>
    <row r="28" spans="1:34">
      <c r="A28" s="337">
        <v>28</v>
      </c>
      <c r="B28" s="51"/>
      <c r="C28" s="133"/>
      <c r="D28" s="377"/>
      <c r="E28" s="362"/>
      <c r="F28" s="362"/>
      <c r="G28" s="362"/>
      <c r="H28" s="362"/>
      <c r="I28" s="362"/>
      <c r="J28" s="362"/>
      <c r="K28" s="362"/>
      <c r="L28" s="362"/>
      <c r="M28" s="362"/>
      <c r="N28" s="362"/>
      <c r="O28" s="362"/>
      <c r="P28" s="362"/>
      <c r="Q28" s="362"/>
      <c r="R28" s="362"/>
      <c r="S28" s="362"/>
      <c r="T28" s="362"/>
      <c r="U28" s="362"/>
      <c r="V28" s="362"/>
      <c r="W28" s="362"/>
      <c r="X28" s="362"/>
      <c r="Y28" s="362"/>
      <c r="Z28" s="362"/>
      <c r="AA28" s="362"/>
      <c r="AB28" s="362"/>
      <c r="AC28" s="362"/>
      <c r="AD28" s="362"/>
      <c r="AE28" s="362"/>
      <c r="AF28" s="362"/>
      <c r="AG28" s="362"/>
      <c r="AH28" s="364"/>
    </row>
    <row r="29" spans="1:34">
      <c r="A29" s="337">
        <v>29</v>
      </c>
      <c r="B29" s="51"/>
      <c r="C29" s="133"/>
      <c r="D29" s="377"/>
      <c r="E29" s="363"/>
      <c r="F29" s="362"/>
      <c r="G29" s="362"/>
      <c r="H29" s="362"/>
      <c r="I29" s="362"/>
      <c r="J29" s="362"/>
      <c r="K29" s="362"/>
      <c r="L29" s="362"/>
      <c r="M29" s="362"/>
      <c r="N29" s="362"/>
      <c r="O29" s="362"/>
      <c r="P29" s="362"/>
      <c r="Q29" s="362"/>
      <c r="R29" s="362"/>
      <c r="S29" s="362"/>
      <c r="T29" s="362"/>
      <c r="U29" s="362"/>
      <c r="V29" s="362"/>
      <c r="W29" s="362"/>
      <c r="X29" s="362"/>
      <c r="Y29" s="362"/>
      <c r="Z29" s="362"/>
      <c r="AA29" s="362"/>
      <c r="AB29" s="362"/>
      <c r="AC29" s="362"/>
      <c r="AD29" s="362"/>
      <c r="AE29" s="362"/>
      <c r="AF29" s="362"/>
      <c r="AG29" s="362"/>
      <c r="AH29" s="364"/>
    </row>
    <row r="30" spans="1:34" ht="13.5" thickBot="1">
      <c r="A30" s="338">
        <v>30</v>
      </c>
      <c r="B30" s="134"/>
      <c r="C30" s="135"/>
      <c r="D30" s="378"/>
      <c r="E30" s="379"/>
      <c r="F30" s="379"/>
      <c r="G30" s="379"/>
      <c r="H30" s="379"/>
      <c r="I30" s="379"/>
      <c r="J30" s="372"/>
      <c r="K30" s="372"/>
      <c r="L30" s="379"/>
      <c r="M30" s="379"/>
      <c r="N30" s="379"/>
      <c r="O30" s="379"/>
      <c r="P30" s="379"/>
      <c r="Q30" s="372"/>
      <c r="R30" s="372"/>
      <c r="S30" s="379"/>
      <c r="T30" s="379"/>
      <c r="U30" s="379"/>
      <c r="V30" s="379"/>
      <c r="W30" s="379"/>
      <c r="X30" s="372"/>
      <c r="Y30" s="372"/>
      <c r="Z30" s="379"/>
      <c r="AA30" s="379"/>
      <c r="AB30" s="379"/>
      <c r="AC30" s="379"/>
      <c r="AD30" s="379"/>
      <c r="AE30" s="372"/>
      <c r="AF30" s="372"/>
      <c r="AG30" s="379"/>
      <c r="AH30" s="380"/>
    </row>
    <row r="31" spans="1:34">
      <c r="A31" s="137">
        <v>31</v>
      </c>
      <c r="B31" s="138" t="s">
        <v>42</v>
      </c>
      <c r="C31" s="139">
        <v>1258</v>
      </c>
      <c r="D31" s="381"/>
      <c r="E31" s="382">
        <v>10</v>
      </c>
      <c r="F31" s="382">
        <v>24</v>
      </c>
      <c r="G31" s="382">
        <v>50</v>
      </c>
      <c r="H31" s="382">
        <v>59</v>
      </c>
      <c r="I31" s="382">
        <v>76</v>
      </c>
      <c r="J31" s="383">
        <v>99</v>
      </c>
      <c r="K31" s="383">
        <v>37</v>
      </c>
      <c r="L31" s="382">
        <v>140</v>
      </c>
      <c r="M31" s="382" t="s">
        <v>2072</v>
      </c>
      <c r="N31" s="382">
        <v>181</v>
      </c>
      <c r="O31" s="382">
        <v>202</v>
      </c>
      <c r="P31" s="382">
        <v>219</v>
      </c>
      <c r="Q31" s="383">
        <v>240</v>
      </c>
      <c r="R31" s="383">
        <v>274</v>
      </c>
      <c r="S31" s="382"/>
      <c r="T31" s="382" t="s">
        <v>2072</v>
      </c>
      <c r="U31" s="382" t="s">
        <v>2072</v>
      </c>
      <c r="V31" s="382" t="s">
        <v>2072</v>
      </c>
      <c r="W31" s="382" t="s">
        <v>2072</v>
      </c>
      <c r="X31" s="382" t="s">
        <v>2072</v>
      </c>
      <c r="Y31" s="383">
        <v>436</v>
      </c>
      <c r="Z31" s="382"/>
      <c r="AA31" s="382"/>
      <c r="AB31" s="382"/>
      <c r="AC31" s="382"/>
      <c r="AD31" s="382"/>
      <c r="AE31" s="383"/>
      <c r="AF31" s="383"/>
      <c r="AG31" s="382"/>
      <c r="AH31" s="384"/>
    </row>
    <row r="32" spans="1:34">
      <c r="A32" s="137">
        <v>32</v>
      </c>
      <c r="B32" s="138" t="s">
        <v>2030</v>
      </c>
      <c r="C32" s="139">
        <v>1495</v>
      </c>
      <c r="D32" s="426"/>
      <c r="E32" s="382"/>
      <c r="F32" s="382" t="s">
        <v>2072</v>
      </c>
      <c r="G32" s="382" t="s">
        <v>2072</v>
      </c>
      <c r="H32" s="382" t="s">
        <v>2072</v>
      </c>
      <c r="I32" s="382" t="s">
        <v>2072</v>
      </c>
      <c r="J32" s="383">
        <v>94</v>
      </c>
      <c r="K32" s="383"/>
      <c r="L32" s="382">
        <v>144</v>
      </c>
      <c r="M32" s="382">
        <v>205</v>
      </c>
      <c r="N32" s="382">
        <v>188</v>
      </c>
      <c r="O32" s="382" t="s">
        <v>2072</v>
      </c>
      <c r="P32" s="382" t="s">
        <v>2072</v>
      </c>
      <c r="Q32" s="383" t="s">
        <v>2072</v>
      </c>
      <c r="R32" s="383"/>
      <c r="S32" s="382"/>
      <c r="T32" s="382" t="s">
        <v>2072</v>
      </c>
      <c r="U32" s="382" t="s">
        <v>2072</v>
      </c>
      <c r="V32" s="382" t="s">
        <v>2072</v>
      </c>
      <c r="W32" s="382" t="s">
        <v>2072</v>
      </c>
      <c r="X32" s="383" t="s">
        <v>2072</v>
      </c>
      <c r="Y32" s="383">
        <v>436</v>
      </c>
      <c r="Z32" s="382"/>
      <c r="AA32" s="382" t="s">
        <v>2072</v>
      </c>
      <c r="AB32" s="382" t="s">
        <v>2072</v>
      </c>
      <c r="AC32" s="382" t="s">
        <v>2072</v>
      </c>
      <c r="AD32" s="382" t="s">
        <v>2072</v>
      </c>
      <c r="AE32" s="383" t="s">
        <v>2072</v>
      </c>
      <c r="AF32" s="383"/>
      <c r="AG32" s="382"/>
      <c r="AH32" s="384" t="s">
        <v>2072</v>
      </c>
    </row>
    <row r="33" spans="1:34">
      <c r="A33" s="137">
        <v>33</v>
      </c>
      <c r="B33" s="138" t="s">
        <v>39</v>
      </c>
      <c r="C33" s="139">
        <v>505</v>
      </c>
      <c r="D33" s="426"/>
      <c r="E33" s="382"/>
      <c r="F33" s="382" t="s">
        <v>2072</v>
      </c>
      <c r="G33" s="382">
        <v>42</v>
      </c>
      <c r="H33" s="382" t="s">
        <v>2072</v>
      </c>
      <c r="I33" s="382" t="s">
        <v>2072</v>
      </c>
      <c r="J33" s="383" t="s">
        <v>2072</v>
      </c>
      <c r="K33" s="383"/>
      <c r="L33" s="382"/>
      <c r="M33" s="382" t="s">
        <v>2072</v>
      </c>
      <c r="N33" s="382" t="s">
        <v>2072</v>
      </c>
      <c r="O33" s="382" t="s">
        <v>2072</v>
      </c>
      <c r="P33" s="382">
        <v>218</v>
      </c>
      <c r="Q33" s="383">
        <v>241</v>
      </c>
      <c r="R33" s="383">
        <v>259</v>
      </c>
      <c r="S33" s="382"/>
      <c r="T33" s="382">
        <v>298</v>
      </c>
      <c r="U33" s="382" t="s">
        <v>2072</v>
      </c>
      <c r="V33" s="382" t="s">
        <v>2072</v>
      </c>
      <c r="W33" s="382" t="s">
        <v>2072</v>
      </c>
      <c r="X33" s="383">
        <v>382</v>
      </c>
      <c r="Y33" s="383">
        <v>436</v>
      </c>
      <c r="Z33" s="382"/>
      <c r="AA33" s="382" t="s">
        <v>2072</v>
      </c>
      <c r="AB33" s="382" t="s">
        <v>2072</v>
      </c>
      <c r="AC33" s="382" t="s">
        <v>2072</v>
      </c>
      <c r="AD33" s="382" t="s">
        <v>2072</v>
      </c>
      <c r="AE33" s="383" t="s">
        <v>2072</v>
      </c>
      <c r="AF33" s="383"/>
      <c r="AG33" s="382"/>
      <c r="AH33" s="384" t="s">
        <v>2072</v>
      </c>
    </row>
    <row r="34" spans="1:34">
      <c r="A34" s="137">
        <v>34</v>
      </c>
      <c r="B34" s="138" t="s">
        <v>40</v>
      </c>
      <c r="C34" s="139">
        <v>1548</v>
      </c>
      <c r="D34" s="381"/>
      <c r="E34" s="382"/>
      <c r="F34" s="382" t="s">
        <v>2072</v>
      </c>
      <c r="G34" s="382" t="s">
        <v>2072</v>
      </c>
      <c r="H34" s="382" t="s">
        <v>2072</v>
      </c>
      <c r="I34" s="382" t="s">
        <v>2072</v>
      </c>
      <c r="J34" s="383" t="s">
        <v>2072</v>
      </c>
      <c r="K34" s="383"/>
      <c r="L34" s="382"/>
      <c r="M34" s="382" t="s">
        <v>2072</v>
      </c>
      <c r="N34" s="382" t="s">
        <v>2072</v>
      </c>
      <c r="O34" s="382" t="s">
        <v>2072</v>
      </c>
      <c r="P34" s="382" t="s">
        <v>2072</v>
      </c>
      <c r="Q34" s="383" t="s">
        <v>2072</v>
      </c>
      <c r="R34" s="383"/>
      <c r="S34" s="382"/>
      <c r="T34" s="382" t="s">
        <v>2072</v>
      </c>
      <c r="U34" s="382" t="s">
        <v>2072</v>
      </c>
      <c r="V34" s="382" t="s">
        <v>2072</v>
      </c>
      <c r="W34" s="382" t="s">
        <v>2072</v>
      </c>
      <c r="X34" s="383" t="s">
        <v>2072</v>
      </c>
      <c r="Y34" s="383"/>
      <c r="Z34" s="382"/>
      <c r="AA34" s="382" t="s">
        <v>2072</v>
      </c>
      <c r="AB34" s="382" t="s">
        <v>2072</v>
      </c>
      <c r="AC34" s="382" t="s">
        <v>2072</v>
      </c>
      <c r="AD34" s="382" t="s">
        <v>2072</v>
      </c>
      <c r="AE34" s="383" t="s">
        <v>2072</v>
      </c>
      <c r="AF34" s="383"/>
      <c r="AG34" s="382"/>
      <c r="AH34" s="384" t="s">
        <v>2072</v>
      </c>
    </row>
    <row r="35" spans="1:34">
      <c r="A35" s="137">
        <v>35</v>
      </c>
      <c r="B35" s="138" t="s">
        <v>40</v>
      </c>
      <c r="C35" s="139">
        <v>384</v>
      </c>
      <c r="D35" s="381"/>
      <c r="E35" s="382"/>
      <c r="F35" s="382" t="s">
        <v>2071</v>
      </c>
      <c r="G35" s="382" t="s">
        <v>2071</v>
      </c>
      <c r="H35" s="382" t="s">
        <v>2071</v>
      </c>
      <c r="I35" s="382" t="s">
        <v>2071</v>
      </c>
      <c r="J35" s="383" t="s">
        <v>2071</v>
      </c>
      <c r="K35" s="383"/>
      <c r="L35" s="382"/>
      <c r="M35" s="382" t="s">
        <v>2071</v>
      </c>
      <c r="N35" s="382" t="s">
        <v>2071</v>
      </c>
      <c r="O35" s="382" t="s">
        <v>2071</v>
      </c>
      <c r="P35" s="382" t="s">
        <v>2071</v>
      </c>
      <c r="Q35" s="383" t="s">
        <v>2071</v>
      </c>
      <c r="R35" s="383"/>
      <c r="S35" s="382"/>
      <c r="T35" s="382" t="s">
        <v>2071</v>
      </c>
      <c r="U35" s="382" t="s">
        <v>2071</v>
      </c>
      <c r="V35" s="382" t="s">
        <v>2071</v>
      </c>
      <c r="W35" s="382" t="s">
        <v>2071</v>
      </c>
      <c r="X35" s="383" t="s">
        <v>2071</v>
      </c>
      <c r="Y35" s="383"/>
      <c r="Z35" s="382"/>
      <c r="AA35" s="382" t="s">
        <v>2071</v>
      </c>
      <c r="AB35" s="382" t="s">
        <v>2071</v>
      </c>
      <c r="AC35" s="382" t="s">
        <v>2071</v>
      </c>
      <c r="AD35" s="382" t="s">
        <v>2071</v>
      </c>
      <c r="AE35" s="383" t="s">
        <v>2071</v>
      </c>
      <c r="AF35" s="383"/>
      <c r="AG35" s="382"/>
      <c r="AH35" s="384" t="s">
        <v>2071</v>
      </c>
    </row>
    <row r="36" spans="1:34">
      <c r="A36" s="137">
        <v>36</v>
      </c>
      <c r="B36" s="138"/>
      <c r="C36" s="139"/>
      <c r="D36" s="381"/>
      <c r="E36" s="382"/>
      <c r="F36" s="382"/>
      <c r="G36" s="382"/>
      <c r="H36" s="382"/>
      <c r="I36" s="382"/>
      <c r="J36" s="383"/>
      <c r="K36" s="383"/>
      <c r="L36" s="382"/>
      <c r="M36" s="382"/>
      <c r="N36" s="382"/>
      <c r="O36" s="382"/>
      <c r="P36" s="382"/>
      <c r="Q36" s="383"/>
      <c r="R36" s="383"/>
      <c r="S36" s="382"/>
      <c r="T36" s="382"/>
      <c r="U36" s="382"/>
      <c r="V36" s="382"/>
      <c r="W36" s="382"/>
      <c r="X36" s="383"/>
      <c r="Y36" s="383"/>
      <c r="Z36" s="382"/>
      <c r="AA36" s="382"/>
      <c r="AB36" s="382"/>
      <c r="AC36" s="382"/>
      <c r="AD36" s="382"/>
      <c r="AE36" s="383"/>
      <c r="AF36" s="383"/>
      <c r="AG36" s="382"/>
      <c r="AH36" s="384"/>
    </row>
    <row r="37" spans="1:34">
      <c r="A37" s="137">
        <v>37</v>
      </c>
      <c r="B37" s="138"/>
      <c r="C37" s="139"/>
      <c r="D37" s="381"/>
      <c r="E37" s="382"/>
      <c r="F37" s="382"/>
      <c r="G37" s="382"/>
      <c r="H37" s="382"/>
      <c r="I37" s="382"/>
      <c r="J37" s="383"/>
      <c r="K37" s="383"/>
      <c r="L37" s="382"/>
      <c r="M37" s="382"/>
      <c r="N37" s="382"/>
      <c r="O37" s="382"/>
      <c r="P37" s="382"/>
      <c r="Q37" s="383"/>
      <c r="R37" s="383"/>
      <c r="S37" s="382"/>
      <c r="T37" s="382"/>
      <c r="U37" s="382"/>
      <c r="V37" s="382"/>
      <c r="W37" s="382"/>
      <c r="X37" s="383"/>
      <c r="Y37" s="383"/>
      <c r="Z37" s="382"/>
      <c r="AA37" s="382"/>
      <c r="AB37" s="382"/>
      <c r="AC37" s="382"/>
      <c r="AD37" s="382"/>
      <c r="AE37" s="383"/>
      <c r="AF37" s="383"/>
      <c r="AG37" s="382"/>
      <c r="AH37" s="384"/>
    </row>
    <row r="38" spans="1:34">
      <c r="A38" s="137">
        <v>38</v>
      </c>
      <c r="B38" s="51"/>
      <c r="C38" s="131"/>
      <c r="D38" s="361"/>
      <c r="E38" s="363"/>
      <c r="F38" s="363"/>
      <c r="G38" s="363"/>
      <c r="H38" s="363"/>
      <c r="I38" s="363"/>
      <c r="J38" s="362"/>
      <c r="K38" s="362"/>
      <c r="L38" s="363"/>
      <c r="M38" s="363"/>
      <c r="N38" s="363"/>
      <c r="O38" s="363"/>
      <c r="P38" s="363"/>
      <c r="Q38" s="362"/>
      <c r="R38" s="362"/>
      <c r="S38" s="363"/>
      <c r="T38" s="363"/>
      <c r="U38" s="363"/>
      <c r="V38" s="363"/>
      <c r="W38" s="363"/>
      <c r="X38" s="362"/>
      <c r="Y38" s="362"/>
      <c r="Z38" s="363"/>
      <c r="AA38" s="363"/>
      <c r="AB38" s="363"/>
      <c r="AC38" s="363"/>
      <c r="AD38" s="363"/>
      <c r="AE38" s="362"/>
      <c r="AF38" s="362"/>
      <c r="AG38" s="363"/>
      <c r="AH38" s="385"/>
    </row>
    <row r="39" spans="1:34">
      <c r="A39" s="137">
        <v>39</v>
      </c>
      <c r="B39" s="51"/>
      <c r="C39" s="131"/>
      <c r="D39" s="361"/>
      <c r="E39" s="362"/>
      <c r="F39" s="362"/>
      <c r="G39" s="362"/>
      <c r="H39" s="362"/>
      <c r="I39" s="362"/>
      <c r="J39" s="362"/>
      <c r="K39" s="362"/>
      <c r="L39" s="362"/>
      <c r="M39" s="362"/>
      <c r="N39" s="362"/>
      <c r="O39" s="362"/>
      <c r="P39" s="362"/>
      <c r="Q39" s="362"/>
      <c r="R39" s="362"/>
      <c r="S39" s="362"/>
      <c r="T39" s="362"/>
      <c r="U39" s="362"/>
      <c r="V39" s="362"/>
      <c r="W39" s="362"/>
      <c r="X39" s="362"/>
      <c r="Y39" s="362"/>
      <c r="Z39" s="362"/>
      <c r="AA39" s="362"/>
      <c r="AB39" s="362"/>
      <c r="AC39" s="362"/>
      <c r="AD39" s="362"/>
      <c r="AE39" s="362"/>
      <c r="AF39" s="362"/>
      <c r="AG39" s="362"/>
      <c r="AH39" s="364"/>
    </row>
    <row r="40" spans="1:34" ht="13.5" thickBot="1">
      <c r="A40" s="302">
        <v>40</v>
      </c>
      <c r="B40" s="134"/>
      <c r="C40" s="136"/>
      <c r="D40" s="386"/>
      <c r="E40" s="372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372"/>
      <c r="AE40" s="372"/>
      <c r="AF40" s="372"/>
      <c r="AG40" s="372"/>
      <c r="AH40" s="373"/>
    </row>
    <row r="41" spans="1:34" ht="13.5" thickBot="1">
      <c r="A41" s="140"/>
      <c r="B41" s="141"/>
      <c r="C41" s="145"/>
      <c r="D41" s="146">
        <f>DATE(ВВОД!G2,ВВОД!A2,1)</f>
        <v>45444</v>
      </c>
      <c r="E41" s="143">
        <f>D41+1</f>
        <v>45445</v>
      </c>
      <c r="F41" s="142">
        <f t="shared" ref="F41" si="0">E41+1</f>
        <v>45446</v>
      </c>
      <c r="G41" s="143">
        <f t="shared" ref="G41" si="1">F41+1</f>
        <v>45447</v>
      </c>
      <c r="H41" s="142">
        <f t="shared" ref="H41" si="2">G41+1</f>
        <v>45448</v>
      </c>
      <c r="I41" s="143">
        <f t="shared" ref="I41" si="3">H41+1</f>
        <v>45449</v>
      </c>
      <c r="J41" s="142">
        <f t="shared" ref="J41" si="4">I41+1</f>
        <v>45450</v>
      </c>
      <c r="K41" s="143">
        <f t="shared" ref="K41" si="5">J41+1</f>
        <v>45451</v>
      </c>
      <c r="L41" s="142">
        <f t="shared" ref="L41" si="6">K41+1</f>
        <v>45452</v>
      </c>
      <c r="M41" s="143">
        <f t="shared" ref="M41" si="7">L41+1</f>
        <v>45453</v>
      </c>
      <c r="N41" s="142">
        <f t="shared" ref="N41" si="8">M41+1</f>
        <v>45454</v>
      </c>
      <c r="O41" s="143">
        <f t="shared" ref="O41" si="9">N41+1</f>
        <v>45455</v>
      </c>
      <c r="P41" s="142">
        <f t="shared" ref="P41" si="10">O41+1</f>
        <v>45456</v>
      </c>
      <c r="Q41" s="143">
        <f t="shared" ref="Q41" si="11">P41+1</f>
        <v>45457</v>
      </c>
      <c r="R41" s="142">
        <f t="shared" ref="R41" si="12">Q41+1</f>
        <v>45458</v>
      </c>
      <c r="S41" s="143">
        <f t="shared" ref="S41" si="13">R41+1</f>
        <v>45459</v>
      </c>
      <c r="T41" s="142">
        <f t="shared" ref="T41" si="14">S41+1</f>
        <v>45460</v>
      </c>
      <c r="U41" s="143">
        <f t="shared" ref="U41" si="15">T41+1</f>
        <v>45461</v>
      </c>
      <c r="V41" s="142">
        <f t="shared" ref="V41" si="16">U41+1</f>
        <v>45462</v>
      </c>
      <c r="W41" s="143">
        <f t="shared" ref="W41" si="17">V41+1</f>
        <v>45463</v>
      </c>
      <c r="X41" s="142">
        <f t="shared" ref="X41" si="18">W41+1</f>
        <v>45464</v>
      </c>
      <c r="Y41" s="143">
        <f t="shared" ref="Y41" si="19">X41+1</f>
        <v>45465</v>
      </c>
      <c r="Z41" s="142">
        <f t="shared" ref="Z41" si="20">Y41+1</f>
        <v>45466</v>
      </c>
      <c r="AA41" s="143">
        <f t="shared" ref="AA41" si="21">Z41+1</f>
        <v>45467</v>
      </c>
      <c r="AB41" s="142">
        <f t="shared" ref="AB41" si="22">AA41+1</f>
        <v>45468</v>
      </c>
      <c r="AC41" s="143">
        <f t="shared" ref="AC41" si="23">AB41+1</f>
        <v>45469</v>
      </c>
      <c r="AD41" s="142">
        <f t="shared" ref="AD41" si="24">AC41+1</f>
        <v>45470</v>
      </c>
      <c r="AE41" s="143">
        <f t="shared" ref="AE41" si="25">AD41+1</f>
        <v>45471</v>
      </c>
      <c r="AF41" s="142">
        <f t="shared" ref="AF41" si="26">AE41+1</f>
        <v>45472</v>
      </c>
      <c r="AG41" s="143">
        <f t="shared" ref="AG41" si="27">AF41+1</f>
        <v>45473</v>
      </c>
      <c r="AH41" s="144">
        <f t="shared" ref="AH41" si="28">AG41+1</f>
        <v>45474</v>
      </c>
    </row>
    <row r="42" spans="1:34">
      <c r="L42" s="124"/>
      <c r="M42" s="124"/>
      <c r="N42" s="124"/>
      <c r="O42" s="124"/>
    </row>
  </sheetData>
  <conditionalFormatting sqref="D1:AH41">
    <cfRule type="expression" dxfId="1" priority="6" stopIfTrue="1">
      <formula>MONTH(#REF!)&lt;&gt;MONTH($D$41)</formula>
    </cfRule>
    <cfRule type="expression" dxfId="0" priority="7" stopIfTrue="1">
      <formula>OR(WEEKDAY(D$41)=1,WEEKDAY(D$41)=7)</formula>
    </cfRule>
  </conditionalFormatting>
  <pageMargins left="0.7" right="0.7" top="0.75" bottom="0.75" header="0.3" footer="0.3"/>
  <pageSetup paperSize="9" scale="41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>
    <tabColor rgb="FF00FF00"/>
    <pageSetUpPr fitToPage="1"/>
  </sheetPr>
  <dimension ref="A1:AC76"/>
  <sheetViews>
    <sheetView showWhiteSpace="0" view="pageBreakPreview" zoomScale="120" zoomScaleSheetLayoutView="120" zoomScalePageLayoutView="110" workbookViewId="0">
      <selection activeCell="I24" sqref="I24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404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АП!D41</f>
        <v>45444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16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17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25" t="s">
        <v>10</v>
      </c>
      <c r="H6" s="25" t="s">
        <v>11</v>
      </c>
      <c r="I6" s="25" t="s">
        <v>10</v>
      </c>
      <c r="J6" s="25" t="s">
        <v>11</v>
      </c>
      <c r="K6" s="25" t="s">
        <v>10</v>
      </c>
      <c r="L6" s="25" t="s">
        <v>11</v>
      </c>
      <c r="M6" s="507"/>
      <c r="N6" s="311" t="s">
        <v>2044</v>
      </c>
      <c r="O6" s="311" t="s">
        <v>2045</v>
      </c>
      <c r="P6" s="510"/>
      <c r="Q6" s="507"/>
      <c r="R6" s="507"/>
      <c r="S6" s="507"/>
      <c r="T6" s="507"/>
      <c r="U6" s="507"/>
      <c r="V6" s="507"/>
      <c r="W6" s="518"/>
      <c r="X6" s="515"/>
      <c r="Y6" s="515"/>
      <c r="Z6" s="515"/>
      <c r="AA6" s="515"/>
      <c r="AB6" s="524"/>
      <c r="AC6" s="524"/>
    </row>
    <row r="7" spans="1:29" s="31" customFormat="1" ht="12">
      <c r="A7" s="24">
        <v>1</v>
      </c>
      <c r="B7" s="24">
        <v>2</v>
      </c>
      <c r="C7" s="24">
        <v>3</v>
      </c>
      <c r="D7" s="312">
        <v>4</v>
      </c>
      <c r="E7" s="24">
        <v>5</v>
      </c>
      <c r="F7" s="24">
        <v>6</v>
      </c>
      <c r="G7" s="24">
        <v>7</v>
      </c>
      <c r="H7" s="24">
        <v>8</v>
      </c>
      <c r="I7" s="24">
        <v>9</v>
      </c>
      <c r="J7" s="24">
        <v>10</v>
      </c>
      <c r="K7" s="24">
        <v>11</v>
      </c>
      <c r="L7" s="24">
        <v>12</v>
      </c>
      <c r="M7" s="324">
        <v>13</v>
      </c>
      <c r="N7" s="312">
        <v>14</v>
      </c>
      <c r="O7" s="312">
        <v>15</v>
      </c>
      <c r="P7" s="24">
        <v>16</v>
      </c>
      <c r="Q7" s="24">
        <v>17</v>
      </c>
      <c r="R7" s="24">
        <v>18</v>
      </c>
      <c r="S7" s="24">
        <v>19</v>
      </c>
      <c r="T7" s="24">
        <v>20</v>
      </c>
      <c r="U7" s="24">
        <v>21</v>
      </c>
      <c r="V7" s="24">
        <v>22</v>
      </c>
      <c r="W7" s="398">
        <v>23</v>
      </c>
      <c r="X7" s="23">
        <v>21</v>
      </c>
      <c r="Y7" s="24">
        <v>22</v>
      </c>
      <c r="Z7" s="24">
        <v>23</v>
      </c>
      <c r="AA7" s="24">
        <v>24</v>
      </c>
      <c r="AB7" s="24">
        <v>25</v>
      </c>
      <c r="AC7" s="24">
        <v>26</v>
      </c>
    </row>
    <row r="8" spans="1:29" s="30" customFormat="1" ht="12" customHeight="1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399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 customHeight="1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399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 customHeight="1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399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2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399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2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399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2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399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2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399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2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399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2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399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2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399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2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399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 customHeight="1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399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 customHeight="1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399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 customHeight="1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399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 customHeight="1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399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 customHeight="1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399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 customHeight="1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399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 customHeight="1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399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 customHeight="1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399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" customHeight="1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400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 customHeight="1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/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401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 customHeight="1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399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 customHeight="1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399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 customHeight="1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399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 customHeight="1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399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 customHeight="1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399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 customHeight="1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399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 customHeight="1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399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 customHeight="1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399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" customHeight="1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400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 customHeight="1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401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 customHeight="1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399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 customHeight="1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399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 customHeight="1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399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 customHeight="1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399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 customHeight="1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399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 customHeight="1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399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 customHeight="1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399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 customHeight="1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399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 customHeight="1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399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 customHeight="1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2"/>
      <c r="X48" s="41"/>
      <c r="Y48" s="40"/>
      <c r="Z48" s="40"/>
      <c r="AA48" s="40"/>
      <c r="AB48" s="40"/>
      <c r="AC48" s="40"/>
    </row>
    <row r="49" spans="1:29" s="42" customFormat="1" ht="12" customHeight="1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403"/>
      <c r="X49" s="322"/>
      <c r="Y49" s="322"/>
      <c r="Z49" s="322"/>
      <c r="AA49" s="322"/>
      <c r="AB49" s="322"/>
      <c r="AC49" s="322"/>
    </row>
    <row r="50" spans="1:29" ht="12">
      <c r="W50" s="397"/>
      <c r="X50" s="7"/>
      <c r="Y50" s="7"/>
      <c r="Z50" s="7"/>
      <c r="AA50" s="19"/>
    </row>
    <row r="51" spans="1:29" ht="12.75">
      <c r="B51" s="28" t="s">
        <v>26</v>
      </c>
      <c r="W51" s="397"/>
      <c r="X51" s="7"/>
      <c r="Y51" s="7"/>
      <c r="Z51" s="7"/>
      <c r="AA51" s="19"/>
    </row>
    <row r="52" spans="1:29" ht="12.75">
      <c r="B52" s="29" t="s">
        <v>2058</v>
      </c>
      <c r="M52" s="391"/>
      <c r="W52" s="397"/>
      <c r="X52" s="7"/>
      <c r="Y52" s="7"/>
      <c r="Z52" s="7"/>
      <c r="AA52" s="19"/>
    </row>
    <row r="53" spans="1:29" ht="12.75">
      <c r="B53" s="28"/>
      <c r="W53" s="397"/>
      <c r="X53" s="7"/>
      <c r="Y53" s="7"/>
      <c r="Z53" s="7"/>
      <c r="AA53" s="19"/>
    </row>
    <row r="54" spans="1:29" ht="12.75">
      <c r="B54" s="28" t="s">
        <v>2059</v>
      </c>
      <c r="W54" s="397"/>
      <c r="X54" s="7"/>
      <c r="Y54" s="7"/>
      <c r="Z54" s="7"/>
      <c r="AA54" s="19"/>
    </row>
    <row r="55" spans="1:29" ht="12.75">
      <c r="A55" s="29"/>
      <c r="W55" s="397"/>
      <c r="X55" s="7"/>
      <c r="Y55" s="7"/>
      <c r="Z55" s="7"/>
      <c r="AA55" s="19"/>
    </row>
    <row r="56" spans="1:29" ht="12">
      <c r="A56" s="27" t="s">
        <v>2061</v>
      </c>
      <c r="W56" s="397"/>
      <c r="X56" s="7"/>
      <c r="Y56" s="7"/>
      <c r="Z56" s="7"/>
      <c r="AA56" s="19"/>
    </row>
    <row r="57" spans="1:29" ht="12">
      <c r="A57" s="27" t="s">
        <v>2062</v>
      </c>
      <c r="W57" s="397"/>
      <c r="X57" s="7"/>
      <c r="Y57" s="7"/>
      <c r="Z57" s="7"/>
      <c r="AA57" s="19"/>
    </row>
    <row r="58" spans="1:29" ht="12">
      <c r="W58" s="397"/>
      <c r="X58" s="7"/>
      <c r="Y58" s="7"/>
      <c r="Z58" s="7"/>
      <c r="AA58" s="19"/>
    </row>
    <row r="59" spans="1:29" ht="12">
      <c r="W59" s="397"/>
      <c r="X59" s="7"/>
      <c r="Y59" s="7"/>
      <c r="Z59" s="7"/>
      <c r="AA59" s="19"/>
    </row>
    <row r="60" spans="1:29" ht="12">
      <c r="W60" s="397"/>
    </row>
    <row r="61" spans="1:29" ht="12">
      <c r="W61" s="397"/>
    </row>
    <row r="62" spans="1:29" ht="12">
      <c r="W62" s="397"/>
    </row>
    <row r="63" spans="1:29" ht="12">
      <c r="W63" s="397"/>
    </row>
    <row r="64" spans="1:29" ht="12">
      <c r="W64" s="397"/>
    </row>
    <row r="65" spans="23:23" ht="12">
      <c r="W65" s="397"/>
    </row>
    <row r="66" spans="23:23" ht="12">
      <c r="W66" s="397"/>
    </row>
    <row r="67" spans="23:23" ht="12">
      <c r="W67" s="397"/>
    </row>
    <row r="68" spans="23:23" ht="12">
      <c r="W68" s="397"/>
    </row>
    <row r="69" spans="23:23" ht="12">
      <c r="W69" s="397"/>
    </row>
    <row r="70" spans="23:23" ht="12">
      <c r="W70" s="397"/>
    </row>
    <row r="71" spans="23:23" ht="12">
      <c r="W71" s="397"/>
    </row>
    <row r="72" spans="23:23" ht="12">
      <c r="W72" s="397"/>
    </row>
    <row r="73" spans="23:23" ht="12">
      <c r="W73" s="397"/>
    </row>
    <row r="74" spans="23:23" ht="12">
      <c r="W74" s="397"/>
    </row>
    <row r="75" spans="23:23" ht="12">
      <c r="W75" s="397"/>
    </row>
    <row r="76" spans="23:23" ht="12">
      <c r="W76" s="39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9:F49"/>
    <mergeCell ref="D5:D6"/>
    <mergeCell ref="D4:O4"/>
    <mergeCell ref="N5:O5"/>
    <mergeCell ref="AC4:AC6"/>
    <mergeCell ref="E5:E6"/>
    <mergeCell ref="F5:F6"/>
    <mergeCell ref="X4:AA4"/>
    <mergeCell ref="Z5:Z6"/>
    <mergeCell ref="AB4:AB6"/>
    <mergeCell ref="P4:S4"/>
    <mergeCell ref="V5:V6"/>
    <mergeCell ref="U5:U6"/>
    <mergeCell ref="T4:V4"/>
    <mergeCell ref="AA5:AA6"/>
    <mergeCell ref="T5:T6"/>
    <mergeCell ref="S5:S6"/>
    <mergeCell ref="P5:P6"/>
    <mergeCell ref="A1:Y1"/>
    <mergeCell ref="A2:AA2"/>
    <mergeCell ref="A3:Y3"/>
    <mergeCell ref="A4:A6"/>
    <mergeCell ref="B4:B6"/>
    <mergeCell ref="Y5:Y6"/>
    <mergeCell ref="W4:W6"/>
    <mergeCell ref="X5:X6"/>
    <mergeCell ref="M5:M6"/>
    <mergeCell ref="A48:F48"/>
    <mergeCell ref="I5:J5"/>
    <mergeCell ref="G5:H5"/>
    <mergeCell ref="K5:L5"/>
    <mergeCell ref="R5:R6"/>
    <mergeCell ref="C4:C6"/>
    <mergeCell ref="Q5:Q6"/>
  </mergeCells>
  <phoneticPr fontId="2" type="noConversion"/>
  <pageMargins left="0.39370078740157483" right="0.39370078740157483" top="0.78740157480314965" bottom="0.39370078740157483" header="0" footer="0"/>
  <pageSetup paperSize="9" scale="66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>
    <tabColor rgb="FF00FF00"/>
    <pageSetUpPr fitToPage="1"/>
  </sheetPr>
  <dimension ref="A1:AC76"/>
  <sheetViews>
    <sheetView showWhiteSpace="0" view="pageLayout" topLeftCell="A13" zoomScale="110" zoomScaleSheetLayoutView="120" zoomScalePageLayoutView="110" workbookViewId="0">
      <selection activeCell="E36" sqref="E36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АП!E41</f>
        <v>45445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203</v>
      </c>
      <c r="F38" s="339" t="s">
        <v>2069</v>
      </c>
      <c r="G38" s="341"/>
      <c r="H38" s="341"/>
      <c r="I38" s="339"/>
      <c r="J38" s="339"/>
      <c r="K38" s="339"/>
      <c r="L38" s="339">
        <v>12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10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12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12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>
    <tabColor rgb="FF00FF00"/>
    <pageSetUpPr fitToPage="1"/>
  </sheetPr>
  <dimension ref="A1:AC76"/>
  <sheetViews>
    <sheetView showWhiteSpace="0" view="pageLayout" topLeftCell="A10" zoomScale="110" zoomScaleSheetLayoutView="120" zoomScalePageLayoutView="110" workbookViewId="0">
      <selection activeCell="H50" sqref="H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АП!F41</f>
        <v>45446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Канатове - Трепівка</v>
      </c>
      <c r="F8" s="325" t="str">
        <f>IFERROR(IF(P8="","",INDEX(ВВОД!$T:$T,MATCH(DAY($A$3),ВВОД!B:B,0))),"")</f>
        <v>неп</v>
      </c>
      <c r="G8" s="326">
        <f>IF(P8="","",INDEX(ВВОД!$O:$O,MATCH(DAY($A$3),ВВОД!B:B,0)))</f>
        <v>4.7</v>
      </c>
      <c r="H8" s="326">
        <v>4.7</v>
      </c>
      <c r="I8" s="325">
        <f>IF(P8="","",INDEX(ВВОД!$P:$P,MATCH(DAY($A$3),ВВОД!B:B,0))+INDEX(ВВОД!$Q:$Q,MATCH(DAY($A$3),ВВОД!B:B,0)))</f>
        <v>0</v>
      </c>
      <c r="J8" s="325"/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15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 xml:space="preserve"> так</v>
      </c>
      <c r="E9" s="325" t="str">
        <f>IF(P9="","",INDEX(ВВОД!$S:$S,MATCH(DAY($A$3),ВВОД!C:C,0)))</f>
        <v>Знам'янка - Знам'янка пас</v>
      </c>
      <c r="F9" s="325" t="str">
        <f>IFERROR(IF(P9="","",INDEX(ВВОД!$T:$T,MATCH(DAY($A$3),ВВОД!C:C,0))),"")</f>
        <v>неп</v>
      </c>
      <c r="G9" s="326">
        <f>IF(P9="","",INDEX(ВВОД!$O:$O,MATCH(DAY($A$3),ВВОД!C:C,0)))</f>
        <v>4.8</v>
      </c>
      <c r="H9" s="326">
        <v>4.8</v>
      </c>
      <c r="I9" s="325">
        <f>IF(P9="","",INDEX(ВВОД!$P:$P,MATCH(DAY($A$3),ВВОД!C:C,0))+INDEX(ВВОД!$Q:$Q,MATCH(DAY($A$3),ВВОД!C:C,0)))</f>
        <v>11</v>
      </c>
      <c r="J9" s="325">
        <v>11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14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Чорноліська - БП Західний</v>
      </c>
      <c r="F11" s="325" t="str">
        <f>IFERROR(IF(P11="","",INDEX(ВВОД!$T:$T,MATCH(DAY($A$3),ВВОД!E:E,0))),"")</f>
        <v>неп/пар</v>
      </c>
      <c r="G11" s="326">
        <f>IF(P11="","",INDEX(ВВОД!$O:$O,MATCH(DAY($A$3),ВВОД!E:E,0)))</f>
        <v>6.8</v>
      </c>
      <c r="H11" s="326">
        <v>6.8</v>
      </c>
      <c r="I11" s="325">
        <f>IF(P11="","",INDEX(ВВОД!$P:$P,MATCH(DAY($A$3),ВВОД!E:E,0))+INDEX(ВВОД!$Q:$Q,MATCH(DAY($A$3),ВВОД!E:E,0)))</f>
        <v>8</v>
      </c>
      <c r="J11" s="325">
        <v>8</v>
      </c>
      <c r="K11" s="325"/>
      <c r="L11" s="325"/>
      <c r="M11" s="325">
        <v>1</v>
      </c>
      <c r="N11" s="325"/>
      <c r="O11" s="325"/>
      <c r="P11" s="14">
        <f>IF(W11="   ",IF(INDEX(АП!$D$1:$AH$40,MATCH(C11,АП!$C$1:$C$40,0),DAY($A$3))=0,"",INDEX(АП!$D$1:$AH$40,MATCH(C11,АП!$C$1:$C$40,0),DAY($A$3))),"")</f>
        <v>16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 xml:space="preserve"> так</v>
      </c>
      <c r="E15" s="325" t="str">
        <f>IF(P15="","",INDEX(ВВОД!$S:$S,MATCH(DAY($A$3),ВВОД!I:I,0)))</f>
        <v>Пантаївка - ОП 309 км</v>
      </c>
      <c r="F15" s="325" t="str">
        <f>IFERROR(IF(P15="","",INDEX(ВВОД!$T:$T,MATCH(DAY($A$3),ВВОД!I:I,0))),"")</f>
        <v>пар</v>
      </c>
      <c r="G15" s="326">
        <f>IF(P15="","",INDEX(ВВОД!$O:$O,MATCH(DAY($A$3),ВВОД!I:I,0)))</f>
        <v>4.0999999999999996</v>
      </c>
      <c r="H15" s="326">
        <v>4.0999999999999996</v>
      </c>
      <c r="I15" s="325">
        <f>IF(P15="","",INDEX(ВВОД!$P:$P,MATCH(DAY($A$3),ВВОД!I:I,0))+INDEX(ВВОД!$Q:$Q,MATCH(DAY($A$3),ВВОД!I:I,0)))</f>
        <v>2</v>
      </c>
      <c r="J15" s="325">
        <v>2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17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>ні</v>
      </c>
      <c r="E28" s="340" t="str">
        <f>IF(P28="","",INDEX(ВВОД!$S:$S,MATCH(DAY($A$3),ВВОД!J:J,0)))</f>
        <v>Західна горловина Фастівського парку</v>
      </c>
      <c r="F28" s="339"/>
      <c r="G28" s="341"/>
      <c r="H28" s="341"/>
      <c r="I28" s="339">
        <f>IF(P28="","",INDEX(ВВОД!$P:$P,MATCH(DAY($A$3),ВВОД!J:J,0))+INDEX(ВВОД!$Q:$Q,MATCH(DAY($A$3),ВВОД!J:J,0)))</f>
        <v>13</v>
      </c>
      <c r="J28" s="339">
        <v>13</v>
      </c>
      <c r="K28" s="339"/>
      <c r="L28" s="339"/>
      <c r="M28" s="339"/>
      <c r="N28" s="339"/>
      <c r="O28" s="339"/>
      <c r="P28" s="342">
        <f>IF(W28="   ",IF(INDEX(АП!$D$1:$AH$40,MATCH(C28,АП!$C$1:$C$40,0),DAY($A$3))=0,"",INDEX(АП!$D$1:$AH$40,MATCH(C28,АП!$C$1:$C$40,0),DAY($A$3))),"")</f>
        <v>25</v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2073</v>
      </c>
      <c r="F38" s="339" t="s">
        <v>44</v>
      </c>
      <c r="G38" s="341"/>
      <c r="H38" s="341"/>
      <c r="I38" s="339"/>
      <c r="J38" s="339"/>
      <c r="K38" s="339"/>
      <c r="L38" s="339">
        <v>4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24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20.399999999999999</v>
      </c>
      <c r="H48" s="328">
        <f t="shared" si="2"/>
        <v>20.399999999999999</v>
      </c>
      <c r="I48" s="328">
        <f t="shared" si="2"/>
        <v>34</v>
      </c>
      <c r="J48" s="328">
        <f t="shared" si="2"/>
        <v>34</v>
      </c>
      <c r="K48" s="328">
        <f t="shared" si="2"/>
        <v>0</v>
      </c>
      <c r="L48" s="328">
        <f t="shared" si="2"/>
        <v>4</v>
      </c>
      <c r="M48" s="328">
        <f t="shared" si="2"/>
        <v>1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15.7</v>
      </c>
      <c r="H49" s="328">
        <f t="shared" si="3"/>
        <v>15.7</v>
      </c>
      <c r="I49" s="328">
        <f t="shared" si="3"/>
        <v>21</v>
      </c>
      <c r="J49" s="328">
        <f t="shared" si="3"/>
        <v>21</v>
      </c>
      <c r="K49" s="328">
        <f t="shared" si="3"/>
        <v>0</v>
      </c>
      <c r="L49" s="328">
        <f t="shared" si="3"/>
        <v>4</v>
      </c>
      <c r="M49" s="328">
        <f t="shared" si="3"/>
        <v>1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B30" sqref="B3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АП!G41</f>
        <v>45447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Канатове - Трепівка</v>
      </c>
      <c r="F8" s="325" t="str">
        <f>IFERROR(IF(P8="","",INDEX(ВВОД!$T:$T,MATCH(DAY($A$3),ВВОД!B:B,0))),"")</f>
        <v>неп</v>
      </c>
      <c r="G8" s="326">
        <f>IF(P8="","",INDEX(ВВОД!$O:$O,MATCH(DAY($A$3),ВВОД!B:B,0)))</f>
        <v>7</v>
      </c>
      <c r="H8" s="326">
        <v>7</v>
      </c>
      <c r="I8" s="325">
        <f>IF(P8="","",INDEX(ВВОД!$P:$P,MATCH(DAY($A$3),ВВОД!B:B,0))+INDEX(ВВОД!$Q:$Q,MATCH(DAY($A$3),ВВОД!B:B,0)))</f>
        <v>2</v>
      </c>
      <c r="J8" s="325">
        <v>2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33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ст Знам'янка пас</v>
      </c>
      <c r="F9" s="325" t="str">
        <f>IFERROR(IF(P9="","",INDEX(ВВОД!$T:$T,MATCH(DAY($A$3),ВВОД!C:C,0))),"")</f>
        <v>3,4,5,15,16,18,20</v>
      </c>
      <c r="G9" s="326">
        <f>IF(P9="","",INDEX(ВВОД!$O:$O,MATCH(DAY($A$3),ВВОД!C:C,0)))</f>
        <v>3.8</v>
      </c>
      <c r="H9" s="326">
        <v>3.8</v>
      </c>
      <c r="I9" s="325">
        <v>21</v>
      </c>
      <c r="J9" s="325">
        <v>21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32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Чорноліська - Цибулеве</v>
      </c>
      <c r="F11" s="325" t="str">
        <f>IFERROR(IF(P11="","",INDEX(ВВОД!$T:$T,MATCH(DAY($A$3),ВВОД!E:E,0))),"")</f>
        <v>пар/неп</v>
      </c>
      <c r="G11" s="326">
        <f>IF(P11="","",INDEX(ВВОД!$O:$O,MATCH(DAY($A$3),ВВОД!E:E,0)))</f>
        <v>6</v>
      </c>
      <c r="H11" s="326">
        <v>6</v>
      </c>
      <c r="I11" s="325">
        <f>IF(P11="","",INDEX(ВВОД!$P:$P,MATCH(DAY($A$3),ВВОД!E:E,0))+INDEX(ВВОД!$Q:$Q,MATCH(DAY($A$3),ВВОД!E:E,0)))</f>
        <v>8</v>
      </c>
      <c r="J11" s="325">
        <v>8</v>
      </c>
      <c r="K11" s="325"/>
      <c r="L11" s="325"/>
      <c r="M11" s="325">
        <v>5</v>
      </c>
      <c r="N11" s="325"/>
      <c r="O11" s="325"/>
      <c r="P11" s="14">
        <f>IF(W11="   ",IF(INDEX(АП!$D$1:$AH$40,MATCH(C11,АП!$C$1:$C$40,0),DAY($A$3))=0,"",INDEX(АП!$D$1:$AH$40,MATCH(C11,АП!$C$1:$C$40,0),DAY($A$3))),"")</f>
        <v>34.450000000000003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 xml:space="preserve"> так</v>
      </c>
      <c r="E15" s="325" t="str">
        <f>IF(P15="","",INDEX(ВВОД!$S:$S,MATCH(DAY($A$3),ВВОД!I:I,0)))</f>
        <v>ОП 309 км - Знам'янка пас.</v>
      </c>
      <c r="F15" s="325" t="str">
        <f>IFERROR(IF(P15="","",INDEX(ВВОД!$T:$T,MATCH(DAY($A$3),ВВОД!I:I,0))),"")</f>
        <v>пар</v>
      </c>
      <c r="G15" s="326">
        <f>IF(P15="","",INDEX(ВВОД!$O:$O,MATCH(DAY($A$3),ВВОД!I:I,0)))</f>
        <v>6.1</v>
      </c>
      <c r="H15" s="326">
        <v>6.1</v>
      </c>
      <c r="I15" s="325">
        <f>IF(P15="","",INDEX(ВВОД!$P:$P,MATCH(DAY($A$3),ВВОД!I:I,0))+INDEX(ВВОД!$Q:$Q,MATCH(DAY($A$3),ВВОД!I:I,0)))</f>
        <v>4</v>
      </c>
      <c r="J15" s="325">
        <v>4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35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>ні</v>
      </c>
      <c r="E28" s="340" t="str">
        <f>IF(P28="","",INDEX(ВВОД!$S:$S,MATCH(DAY($A$3),ВВОД!J:J,0)))</f>
        <v>ст. Канатове</v>
      </c>
      <c r="F28" s="339"/>
      <c r="G28" s="341"/>
      <c r="H28" s="341"/>
      <c r="I28" s="339">
        <f>IF(P28="","",INDEX(ВВОД!$P:$P,MATCH(DAY($A$3),ВВОД!J:J,0))+INDEX(ВВОД!$Q:$Q,MATCH(DAY($A$3),ВВОД!J:J,0)))</f>
        <v>15</v>
      </c>
      <c r="J28" s="339">
        <v>15</v>
      </c>
      <c r="K28" s="339"/>
      <c r="L28" s="339"/>
      <c r="M28" s="339"/>
      <c r="N28" s="339"/>
      <c r="O28" s="339"/>
      <c r="P28" s="342">
        <f>IF(W28="   ",IF(INDEX(АП!$D$1:$AH$40,MATCH(C28,АП!$C$1:$C$40,0),DAY($A$3))=0,"",INDEX(АП!$D$1:$AH$40,MATCH(C28,АП!$C$1:$C$40,0),DAY($A$3))),"")</f>
        <v>44</v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203</v>
      </c>
      <c r="F38" s="339" t="s">
        <v>47</v>
      </c>
      <c r="G38" s="341"/>
      <c r="H38" s="341"/>
      <c r="I38" s="339"/>
      <c r="J38" s="339"/>
      <c r="K38" s="339"/>
      <c r="L38" s="339">
        <v>9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50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2048</v>
      </c>
      <c r="E40" s="327" t="s">
        <v>55</v>
      </c>
      <c r="F40" s="325" t="s">
        <v>43</v>
      </c>
      <c r="G40" s="326"/>
      <c r="H40" s="326"/>
      <c r="I40" s="325"/>
      <c r="J40" s="325"/>
      <c r="K40" s="325">
        <v>120</v>
      </c>
      <c r="L40" s="325">
        <v>120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42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22.9</v>
      </c>
      <c r="H48" s="328">
        <f t="shared" si="2"/>
        <v>22.9</v>
      </c>
      <c r="I48" s="328">
        <f t="shared" si="2"/>
        <v>50</v>
      </c>
      <c r="J48" s="328">
        <f t="shared" si="2"/>
        <v>50</v>
      </c>
      <c r="K48" s="328">
        <f t="shared" si="2"/>
        <v>120</v>
      </c>
      <c r="L48" s="328">
        <f t="shared" si="2"/>
        <v>129</v>
      </c>
      <c r="M48" s="328">
        <f t="shared" si="2"/>
        <v>5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12.1</v>
      </c>
      <c r="H49" s="328">
        <f t="shared" si="3"/>
        <v>12.1</v>
      </c>
      <c r="I49" s="328">
        <f t="shared" si="3"/>
        <v>12</v>
      </c>
      <c r="J49" s="328">
        <f t="shared" si="3"/>
        <v>12</v>
      </c>
      <c r="K49" s="328">
        <f t="shared" si="3"/>
        <v>0</v>
      </c>
      <c r="L49" s="328">
        <f t="shared" si="3"/>
        <v>9</v>
      </c>
      <c r="M49" s="328">
        <f t="shared" si="3"/>
        <v>5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J12" sqref="J12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АП!H41</f>
        <v>45448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 xml:space="preserve"> так</v>
      </c>
      <c r="E8" s="325" t="str">
        <f>IF(P8="","",INDEX(ВВОД!$S:$S,MATCH(DAY($A$3),ВВОД!B:B,0)))</f>
        <v>Знам'янка - Чорноліська</v>
      </c>
      <c r="F8" s="325" t="str">
        <f>IFERROR(IF(P8="","",INDEX(ВВОД!$T:$T,MATCH(DAY($A$3),ВВОД!B:B,0))),"")</f>
        <v>пар</v>
      </c>
      <c r="G8" s="326">
        <f>IF(P8="","",INDEX(ВВОД!$O:$O,MATCH(DAY($A$3),ВВОД!B:B,0)))</f>
        <v>6.2</v>
      </c>
      <c r="H8" s="326">
        <v>6.2</v>
      </c>
      <c r="I8" s="325">
        <f>IF(P8="","",INDEX(ВВОД!$P:$P,MATCH(DAY($A$3),ВВОД!B:B,0))+INDEX(ВВОД!$Q:$Q,MATCH(DAY($A$3),ВВОД!B:B,0)))</f>
        <v>1</v>
      </c>
      <c r="J8" s="325">
        <v>1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37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ст Знам'янка пас</v>
      </c>
      <c r="F9" s="325" t="str">
        <f>IFERROR(IF(P9="","",INDEX(ВВОД!$T:$T,MATCH(DAY($A$3),ВВОД!C:C,0))),"")</f>
        <v>6,7,10,11</v>
      </c>
      <c r="G9" s="326">
        <v>2.7</v>
      </c>
      <c r="H9" s="326">
        <v>2.7</v>
      </c>
      <c r="I9" s="325">
        <v>16</v>
      </c>
      <c r="J9" s="325">
        <v>16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36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Чорноліська - Трепівка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7.3</v>
      </c>
      <c r="H11" s="326">
        <v>7.3</v>
      </c>
      <c r="I11" s="325">
        <f>IF(P11="","",INDEX(ВВОД!$P:$P,MATCH(DAY($A$3),ВВОД!E:E,0))+INDEX(ВВОД!$Q:$Q,MATCH(DAY($A$3),ВВОД!E:E,0)))</f>
        <v>4</v>
      </c>
      <c r="J11" s="325">
        <v>4</v>
      </c>
      <c r="K11" s="325"/>
      <c r="L11" s="325"/>
      <c r="M11" s="325"/>
      <c r="N11" s="325">
        <v>1</v>
      </c>
      <c r="O11" s="325"/>
      <c r="P11" s="14">
        <f>IF(W11="   ",IF(INDEX(АП!$D$1:$AH$40,MATCH(C11,АП!$C$1:$C$40,0),DAY($A$3))=0,"",INDEX(АП!$D$1:$AH$40,MATCH(C11,АП!$C$1:$C$40,0),DAY($A$3))),"")</f>
        <v>38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Т.О.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>Т.О.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>так</v>
      </c>
      <c r="E28" s="340" t="str">
        <f>IF(P28="","",INDEX(ВВОД!$S:$S,MATCH(DAY($A$3),ВВОД!J:J,0)))</f>
        <v>ст. Чорноліська</v>
      </c>
      <c r="F28" s="339"/>
      <c r="G28" s="341"/>
      <c r="H28" s="341"/>
      <c r="I28" s="339">
        <f>IF(P28="","",INDEX(ВВОД!$P:$P,MATCH(DAY($A$3),ВВОД!J:J,0))+INDEX(ВВОД!$Q:$Q,MATCH(DAY($A$3),ВВОД!J:J,0)))</f>
        <v>15</v>
      </c>
      <c r="J28" s="339">
        <v>15</v>
      </c>
      <c r="K28" s="339"/>
      <c r="L28" s="339"/>
      <c r="M28" s="339"/>
      <c r="N28" s="339"/>
      <c r="O28" s="339"/>
      <c r="P28" s="342">
        <f>IF(W28="   ",IF(INDEX(АП!$D$1:$AH$40,MATCH(C28,АП!$C$1:$C$40,0),DAY($A$3))=0,"",INDEX(АП!$D$1:$AH$40,MATCH(C28,АП!$C$1:$C$40,0),DAY($A$3))),"")</f>
        <v>58</v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48</v>
      </c>
      <c r="F38" s="339"/>
      <c r="G38" s="341"/>
      <c r="H38" s="341"/>
      <c r="I38" s="339"/>
      <c r="J38" s="339"/>
      <c r="K38" s="339"/>
      <c r="L38" s="339">
        <v>6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59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16.2</v>
      </c>
      <c r="H48" s="328">
        <f t="shared" si="2"/>
        <v>16.2</v>
      </c>
      <c r="I48" s="328">
        <f t="shared" si="2"/>
        <v>36</v>
      </c>
      <c r="J48" s="328">
        <f t="shared" si="2"/>
        <v>36</v>
      </c>
      <c r="K48" s="328">
        <f t="shared" si="2"/>
        <v>0</v>
      </c>
      <c r="L48" s="328">
        <f t="shared" si="2"/>
        <v>6</v>
      </c>
      <c r="M48" s="328">
        <f t="shared" si="2"/>
        <v>0</v>
      </c>
      <c r="N48" s="328">
        <f t="shared" si="2"/>
        <v>1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6.2</v>
      </c>
      <c r="H49" s="328">
        <f t="shared" si="3"/>
        <v>6.2</v>
      </c>
      <c r="I49" s="328">
        <f t="shared" si="3"/>
        <v>16</v>
      </c>
      <c r="J49" s="328">
        <f t="shared" si="3"/>
        <v>16</v>
      </c>
      <c r="K49" s="328">
        <f t="shared" si="3"/>
        <v>0</v>
      </c>
      <c r="L49" s="328">
        <f t="shared" si="3"/>
        <v>6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J13" sqref="J13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АП!I41</f>
        <v>45449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 xml:space="preserve"> так</v>
      </c>
      <c r="E8" s="325" t="str">
        <f>IF(P8="","",INDEX(ВВОД!$S:$S,MATCH(DAY($A$3),ВВОД!B:B,0)))</f>
        <v>Чорноліська - Знам'янка</v>
      </c>
      <c r="F8" s="325" t="str">
        <f>IFERROR(IF(P8="","",INDEX(ВВОД!$T:$T,MATCH(DAY($A$3),ВВОД!B:B,0))),"")</f>
        <v>неп</v>
      </c>
      <c r="G8" s="326">
        <f>IF(P8="","",INDEX(ВВОД!$O:$O,MATCH(DAY($A$3),ВВОД!B:B,0)))</f>
        <v>5.6</v>
      </c>
      <c r="H8" s="326">
        <v>5.6</v>
      </c>
      <c r="I8" s="325">
        <f>IF(P8="","",INDEX(ВВОД!$P:$P,MATCH(DAY($A$3),ВВОД!B:B,0))+INDEX(ВВОД!$Q:$Q,MATCH(DAY($A$3),ВВОД!B:B,0)))</f>
        <v>2</v>
      </c>
      <c r="J8" s="325">
        <v>2</v>
      </c>
      <c r="K8" s="325"/>
      <c r="L8" s="325"/>
      <c r="M8" s="325">
        <v>2</v>
      </c>
      <c r="N8" s="325"/>
      <c r="O8" s="325"/>
      <c r="P8" s="14">
        <f>IF(W8="   ",IF(INDEX(АП!$D$1:$AH$40,MATCH(C8,АП!$C$1:$C$40,0),DAY($A$3))=0,"",INDEX(АП!$D$1:$AH$40,MATCH(C8,АП!$C$1:$C$40,0),DAY($A$3))),"")</f>
        <v>86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Трепівка - Канатове</v>
      </c>
      <c r="F9" s="325" t="str">
        <f>IFERROR(IF(P9="","",INDEX(ВВОД!$T:$T,MATCH(DAY($A$3),ВВОД!C:C,0))),"")</f>
        <v>4к, пар</v>
      </c>
      <c r="G9" s="326">
        <f>IF(P9="","",INDEX(ВВОД!$O:$O,MATCH(DAY($A$3),ВВОД!C:C,0)))</f>
        <v>7.4</v>
      </c>
      <c r="H9" s="326">
        <v>7.4</v>
      </c>
      <c r="I9" s="325">
        <f>IF(P9="","",INDEX(ВВОД!$P:$P,MATCH(DAY($A$3),ВВОД!C:C,0))+INDEX(ВВОД!$Q:$Q,MATCH(DAY($A$3),ВВОД!C:C,0)))</f>
        <v>5</v>
      </c>
      <c r="J9" s="325">
        <v>5</v>
      </c>
      <c r="K9" s="325"/>
      <c r="L9" s="325"/>
      <c r="M9" s="325">
        <v>3</v>
      </c>
      <c r="N9" s="325"/>
      <c r="O9" s="325"/>
      <c r="P9" s="14">
        <f>IF(W9="   ",IF(INDEX(АП!$D$1:$AH$40,MATCH(C9,АП!$C$1:$C$40,0),DAY($A$3))=0,"",INDEX(АП!$D$1:$AH$40,MATCH(C9,АП!$C$1:$C$40,0),DAY($A$3))),"")</f>
        <v>84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Чорноліська - Трепівка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6.7</v>
      </c>
      <c r="H11" s="326">
        <v>6.7</v>
      </c>
      <c r="I11" s="325">
        <f>IF(P11="","",INDEX(ВВОД!$P:$P,MATCH(DAY($A$3),ВВОД!E:E,0))+INDEX(ВВОД!$Q:$Q,MATCH(DAY($A$3),ВВОД!E:E,0)))</f>
        <v>1</v>
      </c>
      <c r="J11" s="325">
        <v>1</v>
      </c>
      <c r="K11" s="325"/>
      <c r="L11" s="325"/>
      <c r="M11" s="325">
        <v>4</v>
      </c>
      <c r="N11" s="325"/>
      <c r="O11" s="325"/>
      <c r="P11" s="14">
        <f>IF(W11="   ",IF(INDEX(АП!$D$1:$AH$40,MATCH(C11,АП!$C$1:$C$40,0),DAY($A$3))=0,"",INDEX(АП!$D$1:$AH$40,MATCH(C11,АП!$C$1:$C$40,0),DAY($A$3))),"")</f>
        <v>87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 xml:space="preserve"> так</v>
      </c>
      <c r="E13" s="325" t="str">
        <f>IF(P13="","",INDEX(ВВОД!$S:$S,MATCH(DAY($A$3),ВВОД!G:G,0)))</f>
        <v>Сахарна - Шарівка</v>
      </c>
      <c r="F13" s="325" t="str">
        <f>IFERROR(IF(P13="","",INDEX(ВВОД!$T:$T,MATCH(DAY($A$3),ВВОД!G:G,0))),"")</f>
        <v>одн</v>
      </c>
      <c r="G13" s="326">
        <f>IF(P13="","",INDEX(ВВОД!$O:$O,MATCH(DAY($A$3),ВВОД!G:G,0)))</f>
        <v>12</v>
      </c>
      <c r="H13" s="326">
        <v>12</v>
      </c>
      <c r="I13" s="325">
        <f>IF(P13="","",INDEX(ВВОД!$P:$P,MATCH(DAY($A$3),ВВОД!G:G,0))+INDEX(ВВОД!$Q:$Q,MATCH(DAY($A$3),ВВОД!G:G,0)))</f>
        <v>6</v>
      </c>
      <c r="J13" s="325">
        <v>6</v>
      </c>
      <c r="K13" s="325"/>
      <c r="L13" s="325"/>
      <c r="M13" s="325"/>
      <c r="N13" s="325"/>
      <c r="O13" s="325"/>
      <c r="P13" s="14">
        <f>IF(W13="   ",IF(INDEX(АП!$D$1:$AH$40,MATCH(C13,АП!$C$1:$C$40,0),DAY($A$3))=0,"",INDEX(АП!$D$1:$AH$40,MATCH(C13,АП!$C$1:$C$40,0),DAY($A$3))),"")</f>
        <v>72</v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Трепівка - Чорноліська</v>
      </c>
      <c r="F15" s="325" t="str">
        <f>IFERROR(IF(P15="","",INDEX(ВВОД!$T:$T,MATCH(DAY($A$3),ВВОД!I:I,0))),"")</f>
        <v>4к, неп</v>
      </c>
      <c r="G15" s="326">
        <f>IF(P15="","",INDEX(ВВОД!$O:$O,MATCH(DAY($A$3),ВВОД!I:I,0)))</f>
        <v>7.3</v>
      </c>
      <c r="H15" s="326">
        <v>7.3</v>
      </c>
      <c r="I15" s="325">
        <f>IF(P15="","",INDEX(ВВОД!$P:$P,MATCH(DAY($A$3),ВВОД!I:I,0))+INDEX(ВВОД!$Q:$Q,MATCH(DAY($A$3),ВВОД!I:I,0)))</f>
        <v>3</v>
      </c>
      <c r="J15" s="325">
        <v>3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87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211</v>
      </c>
      <c r="F38" s="339"/>
      <c r="G38" s="341"/>
      <c r="H38" s="341"/>
      <c r="I38" s="339"/>
      <c r="J38" s="339"/>
      <c r="K38" s="339"/>
      <c r="L38" s="339">
        <v>13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76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39</v>
      </c>
      <c r="H48" s="328">
        <f t="shared" si="2"/>
        <v>39</v>
      </c>
      <c r="I48" s="328">
        <f t="shared" si="2"/>
        <v>17</v>
      </c>
      <c r="J48" s="328">
        <f t="shared" si="2"/>
        <v>17</v>
      </c>
      <c r="K48" s="328">
        <f t="shared" si="2"/>
        <v>0</v>
      </c>
      <c r="L48" s="328">
        <f t="shared" si="2"/>
        <v>13</v>
      </c>
      <c r="M48" s="328">
        <f t="shared" si="2"/>
        <v>9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17.600000000000001</v>
      </c>
      <c r="H49" s="328">
        <f t="shared" si="3"/>
        <v>17.600000000000001</v>
      </c>
      <c r="I49" s="328">
        <f t="shared" si="3"/>
        <v>8</v>
      </c>
      <c r="J49" s="328">
        <f t="shared" si="3"/>
        <v>8</v>
      </c>
      <c r="K49" s="328">
        <f t="shared" si="3"/>
        <v>0</v>
      </c>
      <c r="L49" s="328">
        <f t="shared" si="3"/>
        <v>13</v>
      </c>
      <c r="M49" s="328">
        <f t="shared" si="3"/>
        <v>2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E15" sqref="E15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АП!J41</f>
        <v>45450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Роз'їзд 5 км - ОП 309 км</v>
      </c>
      <c r="F8" s="325" t="str">
        <f>IFERROR(IF(P8="","",INDEX(ВВОД!$T:$T,MATCH(DAY($A$3),ВВОД!B:B,0))),"")</f>
        <v>одн</v>
      </c>
      <c r="G8" s="326">
        <f>IF(P8="","",INDEX(ВВОД!$O:$O,MATCH(DAY($A$3),ВВОД!B:B,0)))</f>
        <v>8.1999999999999993</v>
      </c>
      <c r="H8" s="326">
        <v>8.1999999999999993</v>
      </c>
      <c r="I8" s="325">
        <f>IF(P8="","",INDEX(ВВОД!$P:$P,MATCH(DAY($A$3),ВВОД!B:B,0))+INDEX(ВВОД!$Q:$Q,MATCH(DAY($A$3),ВВОД!B:B,0)))</f>
        <v>4</v>
      </c>
      <c r="J8" s="325">
        <v>4</v>
      </c>
      <c r="K8" s="325"/>
      <c r="L8" s="325"/>
      <c r="M8" s="325">
        <v>4</v>
      </c>
      <c r="N8" s="325">
        <v>2</v>
      </c>
      <c r="O8" s="325"/>
      <c r="P8" s="14">
        <f>IF(W8="   ",IF(INDEX(АП!$D$1:$AH$40,MATCH(C8,АП!$C$1:$C$40,0),DAY($A$3))=0,"",INDEX(АП!$D$1:$AH$40,MATCH(C8,АП!$C$1:$C$40,0),DAY($A$3))),"")</f>
        <v>89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Трепівка - Канатове</v>
      </c>
      <c r="F9" s="325" t="str">
        <f>IFERROR(IF(P9="","",INDEX(ВВОД!$T:$T,MATCH(DAY($A$3),ВВОД!C:C,0))),"")</f>
        <v>пар</v>
      </c>
      <c r="G9" s="326">
        <f>IF(P9="","",INDEX(ВВОД!$O:$O,MATCH(DAY($A$3),ВВОД!C:C,0)))</f>
        <v>4.8</v>
      </c>
      <c r="H9" s="326">
        <v>4.8</v>
      </c>
      <c r="I9" s="325">
        <f>IF(P9="","",INDEX(ВВОД!$P:$P,MATCH(DAY($A$3),ВВОД!C:C,0))+INDEX(ВВОД!$Q:$Q,MATCH(DAY($A$3),ВВОД!C:C,0)))</f>
        <v>1</v>
      </c>
      <c r="J9" s="325">
        <v>1</v>
      </c>
      <c r="K9" s="325"/>
      <c r="L9" s="325"/>
      <c r="M9" s="325">
        <v>3</v>
      </c>
      <c r="N9" s="325">
        <v>1</v>
      </c>
      <c r="O9" s="325"/>
      <c r="P9" s="14">
        <f>IF(W9="   ",IF(INDEX(АП!$D$1:$AH$40,MATCH(C9,АП!$C$1:$C$40,0),DAY($A$3))=0,"",INDEX(АП!$D$1:$AH$40,MATCH(C9,АП!$C$1:$C$40,0),DAY($A$3))),"")</f>
        <v>88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Знам'янка пас. - ОП 309 км</v>
      </c>
      <c r="F11" s="325" t="str">
        <f>IFERROR(IF(P11="","",INDEX(ВВОД!$T:$T,MATCH(DAY($A$3),ВВОД!E:E,0))),"")</f>
        <v>неп</v>
      </c>
      <c r="G11" s="326">
        <f>IF(P11="","",INDEX(ВВОД!$O:$O,MATCH(DAY($A$3),ВВОД!E:E,0)))</f>
        <v>6.1</v>
      </c>
      <c r="H11" s="326">
        <v>6.1</v>
      </c>
      <c r="I11" s="325">
        <f>IF(P11="","",INDEX(ВВОД!$P:$P,MATCH(DAY($A$3),ВВОД!E:E,0))+INDEX(ВВОД!$Q:$Q,MATCH(DAY($A$3),ВВОД!E:E,0)))</f>
        <v>3</v>
      </c>
      <c r="J11" s="325">
        <v>3</v>
      </c>
      <c r="K11" s="325"/>
      <c r="L11" s="325"/>
      <c r="M11" s="325">
        <v>4</v>
      </c>
      <c r="N11" s="325"/>
      <c r="O11" s="325"/>
      <c r="P11" s="14">
        <f>IF(W11="   ",IF(INDEX(АП!$D$1:$AH$40,MATCH(C11,АП!$C$1:$C$40,0),DAY($A$3))=0,"",INDEX(АП!$D$1:$AH$40,MATCH(C11,АП!$C$1:$C$40,0),DAY($A$3))),"")</f>
        <v>90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 xml:space="preserve"> так</v>
      </c>
      <c r="E14" s="325" t="str">
        <f>IF(P14="","",INDEX(ВВОД!$S:$S,MATCH(DAY($A$3),ВВОД!H:H,0)))</f>
        <v>Знам'янка - Знам'янка пас</v>
      </c>
      <c r="F14" s="325" t="str">
        <f>IFERROR(IF(P14="","",INDEX(ВВОД!$T:$T,MATCH(DAY($A$3),ВВОД!H:H,0))),"")</f>
        <v>пар</v>
      </c>
      <c r="G14" s="326">
        <f>IF(P14="","",INDEX(ВВОД!$O:$O,MATCH(DAY($A$3),ВВОД!H:H,0)))</f>
        <v>4.3</v>
      </c>
      <c r="H14" s="326">
        <v>4.3</v>
      </c>
      <c r="I14" s="325">
        <f>IF(P14="","",INDEX(ВВОД!$P:$P,MATCH(DAY($A$3),ВВОД!H:H,0))+INDEX(ВВОД!$Q:$Q,MATCH(DAY($A$3),ВВОД!H:H,0)))</f>
        <v>11</v>
      </c>
      <c r="J14" s="325">
        <v>11</v>
      </c>
      <c r="K14" s="325"/>
      <c r="L14" s="325"/>
      <c r="M14" s="325"/>
      <c r="N14" s="325"/>
      <c r="O14" s="325"/>
      <c r="P14" s="49">
        <f>IF(W14="   ",IF(INDEX(АП!$D$1:$AH$40,MATCH(C14,АП!$C$1:$C$40,0),DAY($A$3))=0,"",INDEX(АП!$D$1:$AH$40,MATCH(C14,АП!$C$1:$C$40,0),DAY($A$3))),"")</f>
        <v>92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Трепівка - Чорноліська</v>
      </c>
      <c r="F15" s="325" t="str">
        <f>IFERROR(IF(P15="","",INDEX(ВВОД!$T:$T,MATCH(DAY($A$3),ВВОД!I:I,0))),"")</f>
        <v>неп</v>
      </c>
      <c r="G15" s="326">
        <f>IF(P15="","",INDEX(ВВОД!$O:$O,MATCH(DAY($A$3),ВВОД!I:I,0)))</f>
        <v>7.3</v>
      </c>
      <c r="H15" s="326">
        <v>7.3</v>
      </c>
      <c r="I15" s="325">
        <f>IF(P15="","",INDEX(ВВОД!$P:$P,MATCH(DAY($A$3),ВВОД!I:I,0))+INDEX(ВВОД!$Q:$Q,MATCH(DAY($A$3),ВВОД!I:I,0)))</f>
        <v>3</v>
      </c>
      <c r="J15" s="325">
        <v>3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91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2073</v>
      </c>
      <c r="F38" s="339" t="s">
        <v>44</v>
      </c>
      <c r="G38" s="341"/>
      <c r="H38" s="341"/>
      <c r="I38" s="339"/>
      <c r="J38" s="339"/>
      <c r="K38" s="339"/>
      <c r="L38" s="339">
        <v>8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99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 t="s">
        <v>2049</v>
      </c>
      <c r="E39" s="327" t="s">
        <v>49</v>
      </c>
      <c r="F39" s="325" t="s">
        <v>43</v>
      </c>
      <c r="G39" s="326"/>
      <c r="H39" s="326"/>
      <c r="I39" s="325"/>
      <c r="J39" s="325"/>
      <c r="K39" s="325"/>
      <c r="L39" s="325">
        <v>7</v>
      </c>
      <c r="M39" s="325"/>
      <c r="N39" s="325"/>
      <c r="O39" s="325"/>
      <c r="P39" s="14">
        <f>IF(W39="   ",IF(INDEX(АП!$D$1:$AH$40,MATCH(C39,АП!$C$1:$C$40,0),DAY($A$3))=0,"",INDEX(АП!$D$1:$AH$40,MATCH(C39,АП!$C$1:$C$40,0),DAY($A$3))),"")</f>
        <v>94</v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30.700000000000003</v>
      </c>
      <c r="H48" s="328">
        <f t="shared" si="2"/>
        <v>30.700000000000003</v>
      </c>
      <c r="I48" s="328">
        <f t="shared" si="2"/>
        <v>22</v>
      </c>
      <c r="J48" s="328">
        <f t="shared" si="2"/>
        <v>22</v>
      </c>
      <c r="K48" s="328">
        <f t="shared" si="2"/>
        <v>0</v>
      </c>
      <c r="L48" s="328">
        <f t="shared" si="2"/>
        <v>15</v>
      </c>
      <c r="M48" s="328">
        <f t="shared" si="2"/>
        <v>11</v>
      </c>
      <c r="N48" s="328">
        <f t="shared" si="2"/>
        <v>3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10.399999999999999</v>
      </c>
      <c r="H49" s="328">
        <f t="shared" si="3"/>
        <v>10.399999999999999</v>
      </c>
      <c r="I49" s="328">
        <f t="shared" si="3"/>
        <v>14</v>
      </c>
      <c r="J49" s="328">
        <f t="shared" si="3"/>
        <v>14</v>
      </c>
      <c r="K49" s="328">
        <f t="shared" si="3"/>
        <v>0</v>
      </c>
      <c r="L49" s="328">
        <f t="shared" si="3"/>
        <v>15</v>
      </c>
      <c r="M49" s="328">
        <f t="shared" si="3"/>
        <v>4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>
    <tabColor rgb="FF00FF00"/>
    <pageSetUpPr fitToPage="1"/>
  </sheetPr>
  <dimension ref="A1:AC76"/>
  <sheetViews>
    <sheetView showWhiteSpace="0" view="pageLayout" topLeftCell="A10" zoomScale="110" zoomScaleSheetLayoutView="120" zoomScalePageLayoutView="110" workbookViewId="0">
      <selection activeCell="E45" sqref="E44:E45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АП!K41</f>
        <v>45451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203</v>
      </c>
      <c r="F38" s="339" t="s">
        <v>47</v>
      </c>
      <c r="G38" s="341"/>
      <c r="H38" s="341"/>
      <c r="I38" s="339"/>
      <c r="J38" s="339"/>
      <c r="K38" s="339"/>
      <c r="L38" s="339">
        <v>5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37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5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5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>
    <tabColor rgb="FF00FF00"/>
    <pageSetUpPr fitToPage="1"/>
  </sheetPr>
  <dimension ref="A1:AC76"/>
  <sheetViews>
    <sheetView showWhiteSpace="0" view="pageLayout" topLeftCell="A13" zoomScale="110" zoomScaleSheetLayoutView="120" zoomScalePageLayoutView="110" workbookViewId="0">
      <selection activeCell="O39" sqref="O39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АП!L41</f>
        <v>45452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2048</v>
      </c>
      <c r="E38" s="340" t="s">
        <v>2075</v>
      </c>
      <c r="F38" s="339">
        <v>27</v>
      </c>
      <c r="G38" s="341"/>
      <c r="H38" s="341"/>
      <c r="I38" s="339"/>
      <c r="J38" s="339"/>
      <c r="K38" s="339"/>
      <c r="L38" s="339">
        <v>6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140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 t="s">
        <v>2048</v>
      </c>
      <c r="E39" s="340" t="s">
        <v>56</v>
      </c>
      <c r="F39" s="339" t="s">
        <v>47</v>
      </c>
      <c r="G39" s="326"/>
      <c r="H39" s="326"/>
      <c r="I39" s="325"/>
      <c r="J39" s="325"/>
      <c r="K39" s="325"/>
      <c r="L39" s="325">
        <v>5</v>
      </c>
      <c r="M39" s="325"/>
      <c r="N39" s="325"/>
      <c r="O39" s="325"/>
      <c r="P39" s="14">
        <f>IF(W39="   ",IF(INDEX(АП!$D$1:$AH$40,MATCH(C39,АП!$C$1:$C$40,0),DAY($A$3))=0,"",INDEX(АП!$D$1:$AH$40,MATCH(C39,АП!$C$1:$C$40,0),DAY($A$3))),"")</f>
        <v>144</v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11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>
    <tabColor rgb="FF00FF00"/>
    <pageSetUpPr fitToPage="1"/>
  </sheetPr>
  <dimension ref="A1:AC76"/>
  <sheetViews>
    <sheetView showWhiteSpace="0" view="pageLayout" topLeftCell="C19" zoomScale="110" zoomScaleSheetLayoutView="120" zoomScalePageLayoutView="110" workbookViewId="0">
      <selection activeCell="F39" sqref="F39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АП!M41</f>
        <v>45453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Роз'їзд 5 км - ОП 309 км</v>
      </c>
      <c r="F8" s="325" t="str">
        <f>IFERROR(IF(P8="","",INDEX(ВВОД!$T:$T,MATCH(DAY($A$3),ВВОД!B:B,0))),"")</f>
        <v>одн</v>
      </c>
      <c r="G8" s="326">
        <f>IF(P8="","",INDEX(ВВОД!$O:$O,MATCH(DAY($A$3),ВВОД!B:B,0)))</f>
        <v>8</v>
      </c>
      <c r="H8" s="326">
        <v>8</v>
      </c>
      <c r="I8" s="325">
        <f>IF(P8="","",INDEX(ВВОД!$P:$P,MATCH(DAY($A$3),ВВОД!B:B,0))+INDEX(ВВОД!$Q:$Q,MATCH(DAY($A$3),ВВОД!B:B,0)))</f>
        <v>1</v>
      </c>
      <c r="J8" s="325">
        <v>1</v>
      </c>
      <c r="K8" s="325"/>
      <c r="L8" s="325"/>
      <c r="M8" s="325">
        <v>1</v>
      </c>
      <c r="N8" s="325"/>
      <c r="O8" s="325"/>
      <c r="P8" s="14">
        <f>IF(W8="   ",IF(INDEX(АП!$D$1:$AH$40,MATCH(C8,АП!$C$1:$C$40,0),DAY($A$3))=0,"",INDEX(АП!$D$1:$AH$40,MATCH(C8,АП!$C$1:$C$40,0),DAY($A$3))),"")</f>
        <v>148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Канатове - Кропивницький</v>
      </c>
      <c r="F9" s="325" t="str">
        <f>IFERROR(IF(P9="","",INDEX(ВВОД!$T:$T,MATCH(DAY($A$3),ВВОД!C:C,0))),"")</f>
        <v>пар</v>
      </c>
      <c r="G9" s="326">
        <f>IF(P9="","",INDEX(ВВОД!$O:$O,MATCH(DAY($A$3),ВВОД!C:C,0)))</f>
        <v>8.8000000000000007</v>
      </c>
      <c r="H9" s="326">
        <v>8.8000000000000007</v>
      </c>
      <c r="I9" s="325">
        <f>IF(P9="","",INDEX(ВВОД!$P:$P,MATCH(DAY($A$3),ВВОД!C:C,0))+INDEX(ВВОД!$Q:$Q,MATCH(DAY($A$3),ВВОД!C:C,0)))</f>
        <v>8</v>
      </c>
      <c r="J9" s="325">
        <v>8</v>
      </c>
      <c r="K9" s="325"/>
      <c r="L9" s="325"/>
      <c r="M9" s="325">
        <v>1</v>
      </c>
      <c r="N9" s="325"/>
      <c r="O9" s="325"/>
      <c r="P9" s="14">
        <f>IF(W9="   ",IF(INDEX(АП!$D$1:$AH$40,MATCH(C9,АП!$C$1:$C$40,0),DAY($A$3))=0,"",INDEX(АП!$D$1:$AH$40,MATCH(C9,АП!$C$1:$C$40,0),DAY($A$3))),"")</f>
        <v>147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ОП 309 км - Пантаївка</v>
      </c>
      <c r="F11" s="325" t="str">
        <f>IFERROR(IF(P11="","",INDEX(ВВОД!$T:$T,MATCH(DAY($A$3),ВВОД!E:E,0))),"")</f>
        <v>неп</v>
      </c>
      <c r="G11" s="326">
        <f>IF(P11="","",INDEX(ВВОД!$O:$O,MATCH(DAY($A$3),ВВОД!E:E,0)))</f>
        <v>4.0999999999999996</v>
      </c>
      <c r="H11" s="326">
        <v>4.0999999999999996</v>
      </c>
      <c r="I11" s="325">
        <f>IF(P11="","",INDEX(ВВОД!$P:$P,MATCH(DAY($A$3),ВВОД!E:E,0))+INDEX(ВВОД!$Q:$Q,MATCH(DAY($A$3),ВВОД!E:E,0)))</f>
        <v>1</v>
      </c>
      <c r="J11" s="325">
        <v>1</v>
      </c>
      <c r="K11" s="325"/>
      <c r="L11" s="325"/>
      <c r="M11" s="325"/>
      <c r="N11" s="325"/>
      <c r="O11" s="325"/>
      <c r="P11" s="14">
        <f>IF(W11="   ",IF(INDEX(АП!$D$1:$AH$40,MATCH(C11,АП!$C$1:$C$40,0),DAY($A$3))=0,"",INDEX(АП!$D$1:$AH$40,MATCH(C11,АП!$C$1:$C$40,0),DAY($A$3))),"")</f>
        <v>149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>ні</v>
      </c>
      <c r="E14" s="325" t="str">
        <f>IF(P14="","",INDEX(ВВОД!$S:$S,MATCH(DAY($A$3),ВВОД!H:H,0)))</f>
        <v>Парк відправлення</v>
      </c>
      <c r="F14" s="325" t="str">
        <f>IFERROR(IF(P14="","",INDEX(ВВОД!$T:$T,MATCH(DAY($A$3),ВВОД!H:H,0))),"")</f>
        <v>2,3,5,6,7</v>
      </c>
      <c r="G14" s="326">
        <f>IF(P14="","",INDEX(ВВОД!$O:$O,MATCH(DAY($A$3),ВВОД!H:H,0)))</f>
        <v>4.5999999999999996</v>
      </c>
      <c r="H14" s="326">
        <v>4.5999999999999996</v>
      </c>
      <c r="I14" s="325">
        <f>IF(P14="","",INDEX(ВВОД!$P:$P,MATCH(DAY($A$3),ВВОД!H:H,0))+INDEX(ВВОД!$Q:$Q,MATCH(DAY($A$3),ВВОД!H:H,0)))</f>
        <v>34</v>
      </c>
      <c r="J14" s="325">
        <v>34</v>
      </c>
      <c r="K14" s="325"/>
      <c r="L14" s="325"/>
      <c r="M14" s="325"/>
      <c r="N14" s="325"/>
      <c r="O14" s="325"/>
      <c r="P14" s="49">
        <f>IF(W14="   ",IF(INDEX(АП!$D$1:$AH$40,MATCH(C14,АП!$C$1:$C$40,0),DAY($A$3))=0,"",INDEX(АП!$D$1:$AH$40,MATCH(C14,АП!$C$1:$C$40,0),DAY($A$3))),"")</f>
        <v>154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Чорноліська - Знам'янка</v>
      </c>
      <c r="F15" s="325" t="str">
        <f>IFERROR(IF(P15="","",INDEX(ВВОД!$T:$T,MATCH(DAY($A$3),ВВОД!I:I,0))),"")</f>
        <v>сер</v>
      </c>
      <c r="G15" s="326">
        <f>IF(P15="","",INDEX(ВВОД!$O:$O,MATCH(DAY($A$3),ВВОД!I:I,0)))</f>
        <v>3.5</v>
      </c>
      <c r="H15" s="326">
        <v>3.5</v>
      </c>
      <c r="I15" s="325">
        <f>IF(P15="","",INDEX(ВВОД!$P:$P,MATCH(DAY($A$3),ВВОД!I:I,0))+INDEX(ВВОД!$Q:$Q,MATCH(DAY($A$3),ВВОД!I:I,0)))</f>
        <v>5</v>
      </c>
      <c r="J15" s="325">
        <v>5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151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>Резерв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39" t="s">
        <v>2049</v>
      </c>
      <c r="E39" s="340" t="s">
        <v>2073</v>
      </c>
      <c r="F39" s="325" t="str">
        <f>IFERROR(IF(P39="","",INDEX(ВВОД!$T:$T,MATCH(DAY($A$3),ВВОД!C:C,0))),"")</f>
        <v>пар</v>
      </c>
      <c r="G39" s="326"/>
      <c r="H39" s="326"/>
      <c r="I39" s="325"/>
      <c r="J39" s="325"/>
      <c r="K39" s="325"/>
      <c r="L39" s="325">
        <v>9</v>
      </c>
      <c r="M39" s="325"/>
      <c r="N39" s="325"/>
      <c r="O39" s="325"/>
      <c r="P39" s="14">
        <f>IF(W39="   ",IF(INDEX(АП!$D$1:$AH$40,MATCH(C39,АП!$C$1:$C$40,0),DAY($A$3))=0,"",INDEX(АП!$D$1:$AH$40,MATCH(C39,АП!$C$1:$C$40,0),DAY($A$3))),"")</f>
        <v>205</v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29</v>
      </c>
      <c r="H48" s="328">
        <f t="shared" si="2"/>
        <v>29</v>
      </c>
      <c r="I48" s="328">
        <f t="shared" si="2"/>
        <v>49</v>
      </c>
      <c r="J48" s="328">
        <f t="shared" si="2"/>
        <v>49</v>
      </c>
      <c r="K48" s="328">
        <f t="shared" si="2"/>
        <v>0</v>
      </c>
      <c r="L48" s="328">
        <f t="shared" si="2"/>
        <v>9</v>
      </c>
      <c r="M48" s="328">
        <f t="shared" si="2"/>
        <v>2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4.0999999999999996</v>
      </c>
      <c r="H49" s="328">
        <f t="shared" si="3"/>
        <v>4.0999999999999996</v>
      </c>
      <c r="I49" s="328">
        <f t="shared" si="3"/>
        <v>1</v>
      </c>
      <c r="J49" s="328">
        <f t="shared" si="3"/>
        <v>1</v>
      </c>
      <c r="K49" s="328">
        <f t="shared" si="3"/>
        <v>0</v>
      </c>
      <c r="L49" s="328">
        <f t="shared" si="3"/>
        <v>9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 F39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>
    <tabColor rgb="FF00FF00"/>
    <pageSetUpPr fitToPage="1"/>
  </sheetPr>
  <dimension ref="A1:AC76"/>
  <sheetViews>
    <sheetView showWhiteSpace="0" view="pageLayout" topLeftCell="A4" zoomScale="110" zoomScaleSheetLayoutView="120" zoomScalePageLayoutView="110" workbookViewId="0">
      <selection activeCell="N14" sqref="N14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АП!N41</f>
        <v>45454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 xml:space="preserve"> так</v>
      </c>
      <c r="E8" s="325" t="str">
        <f>IF(P8="","",INDEX(ВВОД!$S:$S,MATCH(DAY($A$3),ВВОД!B:B,0)))</f>
        <v>Роз'їзд 5 км - Сахарна</v>
      </c>
      <c r="F8" s="325" t="str">
        <f>IFERROR(IF(P8="","",INDEX(ВВОД!$T:$T,MATCH(DAY($A$3),ВВОД!B:B,0))),"")</f>
        <v>одн, 3к</v>
      </c>
      <c r="G8" s="326">
        <f>IF(P8="","",INDEX(ВВОД!$O:$O,MATCH(DAY($A$3),ВВОД!B:B,0)))</f>
        <v>8.1</v>
      </c>
      <c r="H8" s="326">
        <v>8.1</v>
      </c>
      <c r="I8" s="325">
        <f>IF(P8="","",INDEX(ВВОД!$P:$P,MATCH(DAY($A$3),ВВОД!B:B,0))+INDEX(ВВОД!$Q:$Q,MATCH(DAY($A$3),ВВОД!B:B,0)))</f>
        <v>9</v>
      </c>
      <c r="J8" s="325">
        <v>9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155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Кропивницький - Канатове</v>
      </c>
      <c r="F9" s="325" t="str">
        <f>IFERROR(IF(P9="","",INDEX(ВВОД!$T:$T,MATCH(DAY($A$3),ВВОД!C:C,0))),"")</f>
        <v>неп</v>
      </c>
      <c r="G9" s="326">
        <f>IF(P9="","",INDEX(ВВОД!$O:$O,MATCH(DAY($A$3),ВВОД!C:C,0)))</f>
        <v>9</v>
      </c>
      <c r="H9" s="326">
        <v>9</v>
      </c>
      <c r="I9" s="325">
        <f>IF(P9="","",INDEX(ВВОД!$P:$P,MATCH(DAY($A$3),ВВОД!C:C,0))+INDEX(ВВОД!$Q:$Q,MATCH(DAY($A$3),ВВОД!C:C,0)))</f>
        <v>6</v>
      </c>
      <c r="J9" s="325">
        <v>6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154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ОП 309 км - Пантаївка</v>
      </c>
      <c r="F11" s="325" t="str">
        <f>IFERROR(IF(P11="","",INDEX(ВВОД!$T:$T,MATCH(DAY($A$3),ВВОД!E:E,0))),"")</f>
        <v>неп/пар</v>
      </c>
      <c r="G11" s="326">
        <f>IF(P11="","",INDEX(ВВОД!$O:$O,MATCH(DAY($A$3),ВВОД!E:E,0)))</f>
        <v>7.6</v>
      </c>
      <c r="H11" s="326">
        <v>7.6</v>
      </c>
      <c r="I11" s="325">
        <f>IF(P11="","",INDEX(ВВОД!$P:$P,MATCH(DAY($A$3),ВВОД!E:E,0))+INDEX(ВВОД!$Q:$Q,MATCH(DAY($A$3),ВВОД!E:E,0)))</f>
        <v>0</v>
      </c>
      <c r="J11" s="325">
        <v>0</v>
      </c>
      <c r="K11" s="325"/>
      <c r="L11" s="325"/>
      <c r="M11" s="325"/>
      <c r="N11" s="325"/>
      <c r="O11" s="325"/>
      <c r="P11" s="14">
        <f>IF(W11="   ",IF(INDEX(АП!$D$1:$AH$40,MATCH(C11,АП!$C$1:$C$40,0),DAY($A$3))=0,"",INDEX(АП!$D$1:$AH$40,MATCH(C11,АП!$C$1:$C$40,0),DAY($A$3))),"")</f>
        <v>157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>ні</v>
      </c>
      <c r="E14" s="325" t="str">
        <f>IF(P14="","",INDEX(ВВОД!$S:$S,MATCH(DAY($A$3),ВВОД!H:H,0)))</f>
        <v>Парк відправлення</v>
      </c>
      <c r="F14" s="325" t="str">
        <f>IFERROR(IF(P14="","",INDEX(ВВОД!$T:$T,MATCH(DAY($A$3),ВВОД!H:H,0))),"")</f>
        <v>8,9,10,11,12</v>
      </c>
      <c r="G14" s="326">
        <f>IF(P14="","",INDEX(ВВОД!$O:$O,MATCH(DAY($A$3),ВВОД!H:H,0)))</f>
        <v>5.7</v>
      </c>
      <c r="H14" s="326">
        <v>5.7</v>
      </c>
      <c r="I14" s="325">
        <f>IF(P14="","",INDEX(ВВОД!$P:$P,MATCH(DAY($A$3),ВВОД!H:H,0))+INDEX(ВВОД!$Q:$Q,MATCH(DAY($A$3),ВВОД!H:H,0)))</f>
        <v>17</v>
      </c>
      <c r="J14" s="325">
        <v>17</v>
      </c>
      <c r="K14" s="325"/>
      <c r="L14" s="325"/>
      <c r="M14" s="325">
        <v>2</v>
      </c>
      <c r="N14" s="325"/>
      <c r="O14" s="325"/>
      <c r="P14" s="49">
        <f>IF(W14="   ",IF(INDEX(АП!$D$1:$AH$40,MATCH(C14,АП!$C$1:$C$40,0),DAY($A$3))=0,"",INDEX(АП!$D$1:$AH$40,MATCH(C14,АП!$C$1:$C$40,0),DAY($A$3))),"")</f>
        <v>159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Чорноліська - Знам'янка</v>
      </c>
      <c r="F15" s="325" t="str">
        <f>IFERROR(IF(P15="","",INDEX(ВВОД!$T:$T,MATCH(DAY($A$3),ВВОД!I:I,0))),"")</f>
        <v>сер</v>
      </c>
      <c r="G15" s="326">
        <f>IF(P15="","",INDEX(ВВОД!$O:$O,MATCH(DAY($A$3),ВВОД!I:I,0)))</f>
        <v>5.5</v>
      </c>
      <c r="H15" s="326">
        <v>5.5</v>
      </c>
      <c r="I15" s="325">
        <f>IF(P15="","",INDEX(ВВОД!$P:$P,MATCH(DAY($A$3),ВВОД!I:I,0))+INDEX(ВВОД!$Q:$Q,MATCH(DAY($A$3),ВВОД!I:I,0)))</f>
        <v>3</v>
      </c>
      <c r="J15" s="325">
        <v>3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158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2048</v>
      </c>
      <c r="E38" s="340" t="s">
        <v>63</v>
      </c>
      <c r="F38" s="339" t="s">
        <v>43</v>
      </c>
      <c r="G38" s="341"/>
      <c r="H38" s="341"/>
      <c r="I38" s="339"/>
      <c r="J38" s="339"/>
      <c r="K38" s="339"/>
      <c r="L38" s="339">
        <v>7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181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 t="s">
        <v>2049</v>
      </c>
      <c r="E39" s="327" t="s">
        <v>50</v>
      </c>
      <c r="F39" s="325" t="s">
        <v>47</v>
      </c>
      <c r="G39" s="326"/>
      <c r="H39" s="326"/>
      <c r="I39" s="325"/>
      <c r="J39" s="325"/>
      <c r="K39" s="325"/>
      <c r="L39" s="325">
        <v>6</v>
      </c>
      <c r="M39" s="325"/>
      <c r="N39" s="325"/>
      <c r="O39" s="325"/>
      <c r="P39" s="14">
        <f>IF(W39="   ",IF(INDEX(АП!$D$1:$AH$40,MATCH(C39,АП!$C$1:$C$40,0),DAY($A$3))=0,"",INDEX(АП!$D$1:$AH$40,MATCH(C39,АП!$C$1:$C$40,0),DAY($A$3))),"")</f>
        <v>188</v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35.900000000000006</v>
      </c>
      <c r="H48" s="328">
        <f t="shared" si="2"/>
        <v>35.900000000000006</v>
      </c>
      <c r="I48" s="328">
        <f t="shared" si="2"/>
        <v>35</v>
      </c>
      <c r="J48" s="328">
        <f t="shared" si="2"/>
        <v>35</v>
      </c>
      <c r="K48" s="328">
        <f t="shared" si="2"/>
        <v>0</v>
      </c>
      <c r="L48" s="328">
        <f t="shared" si="2"/>
        <v>13</v>
      </c>
      <c r="M48" s="328">
        <f t="shared" si="2"/>
        <v>2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15.7</v>
      </c>
      <c r="H49" s="328">
        <f t="shared" si="3"/>
        <v>15.7</v>
      </c>
      <c r="I49" s="328">
        <f t="shared" si="3"/>
        <v>9</v>
      </c>
      <c r="J49" s="328">
        <f t="shared" si="3"/>
        <v>9</v>
      </c>
      <c r="K49" s="328">
        <f t="shared" si="3"/>
        <v>0</v>
      </c>
      <c r="L49" s="328">
        <f t="shared" si="3"/>
        <v>6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>
    <tabColor rgb="FF00FF00"/>
    <pageSetUpPr fitToPage="1"/>
  </sheetPr>
  <dimension ref="A1:AC76"/>
  <sheetViews>
    <sheetView showWhiteSpace="0" view="pageLayout" topLeftCell="C1" zoomScale="110" zoomScaleSheetLayoutView="120" zoomScalePageLayoutView="110" workbookViewId="0">
      <selection activeCell="W42" sqref="W42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АП!O41</f>
        <v>45455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 xml:space="preserve"> так</v>
      </c>
      <c r="E8" s="325" t="str">
        <f>IF(P8="","",INDEX(ВВОД!$S:$S,MATCH(DAY($A$3),ВВОД!B:B,0)))</f>
        <v>Сахарна - Медерове</v>
      </c>
      <c r="F8" s="325" t="str">
        <f>IFERROR(IF(P8="","",INDEX(ВВОД!$T:$T,MATCH(DAY($A$3),ВВОД!B:B,0))),"")</f>
        <v>одн</v>
      </c>
      <c r="G8" s="326">
        <f>IF(P8="","",INDEX(ВВОД!$O:$O,MATCH(DAY($A$3),ВВОД!B:B,0)))</f>
        <v>9</v>
      </c>
      <c r="H8" s="326">
        <v>9</v>
      </c>
      <c r="I8" s="325">
        <f>IF(P8="","",INDEX(ВВОД!$P:$P,MATCH(DAY($A$3),ВВОД!B:B,0))+INDEX(ВВОД!$Q:$Q,MATCH(DAY($A$3),ВВОД!B:B,0)))</f>
        <v>2</v>
      </c>
      <c r="J8" s="325">
        <v>2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175.21600000000001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Канатове - Трепівка</v>
      </c>
      <c r="F9" s="325" t="str">
        <f>IFERROR(IF(P9="","",INDEX(ВВОД!$T:$T,MATCH(DAY($A$3),ВВОД!C:C,0))),"")</f>
        <v>неп</v>
      </c>
      <c r="G9" s="326">
        <f>IF(P9="","",INDEX(ВВОД!$O:$O,MATCH(DAY($A$3),ВВОД!C:C,0)))</f>
        <v>4.7</v>
      </c>
      <c r="H9" s="326">
        <v>4.7</v>
      </c>
      <c r="I9" s="325">
        <f>IF(P9="","",INDEX(ВВОД!$P:$P,MATCH(DAY($A$3),ВВОД!C:C,0))+INDEX(ВВОД!$Q:$Q,MATCH(DAY($A$3),ВВОД!C:C,0)))</f>
        <v>0</v>
      </c>
      <c r="J9" s="325"/>
      <c r="K9" s="325"/>
      <c r="L9" s="325"/>
      <c r="M9" s="325">
        <v>1</v>
      </c>
      <c r="N9" s="325"/>
      <c r="O9" s="325"/>
      <c r="P9" s="14">
        <f>IF(W9="   ",IF(INDEX(АП!$D$1:$AH$40,MATCH(C9,АП!$C$1:$C$40,0),DAY($A$3))=0,"",INDEX(АП!$D$1:$AH$40,MATCH(C9,АП!$C$1:$C$40,0),DAY($A$3))),"")</f>
        <v>174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Пантаївка - ОП 309 км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4.0999999999999996</v>
      </c>
      <c r="H11" s="326">
        <v>4.0999999999999996</v>
      </c>
      <c r="I11" s="325">
        <f>IF(P11="","",INDEX(ВВОД!$P:$P,MATCH(DAY($A$3),ВВОД!E:E,0))+INDEX(ВВОД!$Q:$Q,MATCH(DAY($A$3),ВВОД!E:E,0)))</f>
        <v>2</v>
      </c>
      <c r="J11" s="325">
        <v>2</v>
      </c>
      <c r="K11" s="325"/>
      <c r="L11" s="325"/>
      <c r="M11" s="325">
        <v>3</v>
      </c>
      <c r="N11" s="325"/>
      <c r="O11" s="325"/>
      <c r="P11" s="14">
        <f>IF(W11="   ",IF(INDEX(АП!$D$1:$AH$40,MATCH(C11,АП!$C$1:$C$40,0),DAY($A$3))=0,"",INDEX(АП!$D$1:$AH$40,MATCH(C11,АП!$C$1:$C$40,0),DAY($A$3))),"")</f>
        <v>176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 xml:space="preserve"> так</v>
      </c>
      <c r="E14" s="325" t="str">
        <f>IF(P14="","",INDEX(ВВОД!$S:$S,MATCH(DAY($A$3),ВВОД!H:H,0)))</f>
        <v>Знам'янка - Знам'янка пас</v>
      </c>
      <c r="F14" s="325" t="str">
        <f>IFERROR(IF(P14="","",INDEX(ВВОД!$T:$T,MATCH(DAY($A$3),ВВОД!H:H,0))),"")</f>
        <v>неп</v>
      </c>
      <c r="G14" s="326">
        <f>IF(P14="","",INDEX(ВВОД!$O:$O,MATCH(DAY($A$3),ВВОД!H:H,0)))</f>
        <v>4.8</v>
      </c>
      <c r="H14" s="326">
        <v>4.8</v>
      </c>
      <c r="I14" s="325">
        <f>IF(P14="","",INDEX(ВВОД!$P:$P,MATCH(DAY($A$3),ВВОД!H:H,0))+INDEX(ВВОД!$Q:$Q,MATCH(DAY($A$3),ВВОД!H:H,0)))</f>
        <v>11</v>
      </c>
      <c r="J14" s="325">
        <v>11</v>
      </c>
      <c r="K14" s="325"/>
      <c r="L14" s="325"/>
      <c r="M14" s="325"/>
      <c r="N14" s="325"/>
      <c r="O14" s="325"/>
      <c r="P14" s="49">
        <f>IF(W14="   ",IF(INDEX(АП!$D$1:$AH$40,MATCH(C14,АП!$C$1:$C$40,0),DAY($A$3))=0,"",INDEX(АП!$D$1:$AH$40,MATCH(C14,АП!$C$1:$C$40,0),DAY($A$3))),"")</f>
        <v>177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">
        <v>2048</v>
      </c>
      <c r="E15" s="325" t="s">
        <v>62</v>
      </c>
      <c r="F15" s="325" t="s">
        <v>43</v>
      </c>
      <c r="G15" s="326"/>
      <c r="H15" s="326"/>
      <c r="I15" s="325"/>
      <c r="J15" s="325"/>
      <c r="K15" s="325">
        <v>120</v>
      </c>
      <c r="L15" s="325">
        <v>120</v>
      </c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201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2048</v>
      </c>
      <c r="E38" s="340" t="s">
        <v>61</v>
      </c>
      <c r="F38" s="339" t="s">
        <v>43</v>
      </c>
      <c r="G38" s="341"/>
      <c r="H38" s="341"/>
      <c r="I38" s="339"/>
      <c r="J38" s="339"/>
      <c r="K38" s="339"/>
      <c r="L38" s="339"/>
      <c r="M38" s="339">
        <v>1</v>
      </c>
      <c r="N38" s="339"/>
      <c r="O38" s="339"/>
      <c r="P38" s="342">
        <f>IF(W38="   ",IF(INDEX(АП!$D$1:$AH$40,MATCH(C38,АП!$C$1:$C$40,0),DAY($A$3))=0,"",INDEX(АП!$D$1:$AH$40,MATCH(C38,АП!$C$1:$C$40,0),DAY($A$3))),"")</f>
        <v>202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22.599999999999998</v>
      </c>
      <c r="H48" s="328">
        <f t="shared" si="2"/>
        <v>22.599999999999998</v>
      </c>
      <c r="I48" s="328">
        <f t="shared" si="2"/>
        <v>15</v>
      </c>
      <c r="J48" s="328">
        <f t="shared" si="2"/>
        <v>15</v>
      </c>
      <c r="K48" s="328">
        <f t="shared" si="2"/>
        <v>120</v>
      </c>
      <c r="L48" s="328">
        <f t="shared" si="2"/>
        <v>120</v>
      </c>
      <c r="M48" s="328">
        <f t="shared" si="2"/>
        <v>5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17.899999999999999</v>
      </c>
      <c r="H49" s="328">
        <f t="shared" si="3"/>
        <v>17.899999999999999</v>
      </c>
      <c r="I49" s="328">
        <f t="shared" si="3"/>
        <v>15</v>
      </c>
      <c r="J49" s="328">
        <f t="shared" si="3"/>
        <v>15</v>
      </c>
      <c r="K49" s="328">
        <f t="shared" si="3"/>
        <v>0</v>
      </c>
      <c r="L49" s="328">
        <f t="shared" si="3"/>
        <v>0</v>
      </c>
      <c r="M49" s="328">
        <f t="shared" si="3"/>
        <v>3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J12" sqref="J12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АП!P41</f>
        <v>45456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>Резерв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Канатове - Трепівка</v>
      </c>
      <c r="F9" s="325" t="str">
        <f>IFERROR(IF(P9="","",INDEX(ВВОД!$T:$T,MATCH(DAY($A$3),ВВОД!C:C,0))),"")</f>
        <v>неп</v>
      </c>
      <c r="G9" s="326">
        <v>5.8</v>
      </c>
      <c r="H9" s="326">
        <v>5.8</v>
      </c>
      <c r="I9" s="325">
        <v>0</v>
      </c>
      <c r="J9" s="325">
        <v>0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192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 xml:space="preserve"> так</v>
      </c>
      <c r="E11" s="325" t="str">
        <f>IF(P11="","",INDEX(ВВОД!$S:$S,MATCH(DAY($A$3),ВВОД!E:E,0)))</f>
        <v>ОП 309 км - Знам'янка пас.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6.1</v>
      </c>
      <c r="H11" s="326">
        <v>6.1</v>
      </c>
      <c r="I11" s="325">
        <f>IF(P11="","",INDEX(ВВОД!$P:$P,MATCH(DAY($A$3),ВВОД!E:E,0))+INDEX(ВВОД!$Q:$Q,MATCH(DAY($A$3),ВВОД!E:E,0)))</f>
        <v>4</v>
      </c>
      <c r="J11" s="325">
        <v>4</v>
      </c>
      <c r="K11" s="325"/>
      <c r="L11" s="325"/>
      <c r="M11" s="325"/>
      <c r="N11" s="325"/>
      <c r="O11" s="325"/>
      <c r="P11" s="14">
        <f>IF(W11="   ",IF(INDEX(АП!$D$1:$AH$40,MATCH(C11,АП!$C$1:$C$40,0),DAY($A$3))=0,"",INDEX(АП!$D$1:$AH$40,MATCH(C11,АП!$C$1:$C$40,0),DAY($A$3))),"")</f>
        <v>195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Знам'янка - Знам'янка пас</v>
      </c>
      <c r="F15" s="325" t="str">
        <f>IFERROR(IF(P15="","",INDEX(ВВОД!$T:$T,MATCH(DAY($A$3),ВВОД!I:I,0))),"")</f>
        <v>сер</v>
      </c>
      <c r="G15" s="326">
        <f>IF(P15="","",INDEX(ВВОД!$O:$O,MATCH(DAY($A$3),ВВОД!I:I,0)))</f>
        <v>5</v>
      </c>
      <c r="H15" s="326">
        <v>5</v>
      </c>
      <c r="I15" s="325">
        <f>IF(P15="","",INDEX(ВВОД!$P:$P,MATCH(DAY($A$3),ВВОД!I:I,0))+INDEX(ВВОД!$Q:$Q,MATCH(DAY($A$3),ВВОД!I:I,0)))</f>
        <v>19</v>
      </c>
      <c r="J15" s="325">
        <v>19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196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2048</v>
      </c>
      <c r="E38" s="340" t="s">
        <v>45</v>
      </c>
      <c r="F38" s="339" t="s">
        <v>43</v>
      </c>
      <c r="G38" s="341"/>
      <c r="H38" s="341"/>
      <c r="I38" s="339"/>
      <c r="J38" s="339"/>
      <c r="K38" s="339"/>
      <c r="L38" s="339"/>
      <c r="M38" s="339">
        <v>3</v>
      </c>
      <c r="N38" s="339"/>
      <c r="O38" s="339"/>
      <c r="P38" s="342">
        <f>IF(W38="   ",IF(INDEX(АП!$D$1:$AH$40,MATCH(C38,АП!$C$1:$C$40,0),DAY($A$3))=0,"",INDEX(АП!$D$1:$AH$40,MATCH(C38,АП!$C$1:$C$40,0),DAY($A$3))),"")</f>
        <v>219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2048</v>
      </c>
      <c r="E40" s="327" t="s">
        <v>62</v>
      </c>
      <c r="F40" s="325" t="s">
        <v>43</v>
      </c>
      <c r="G40" s="326"/>
      <c r="H40" s="326"/>
      <c r="I40" s="325"/>
      <c r="J40" s="325"/>
      <c r="K40" s="325">
        <v>120</v>
      </c>
      <c r="L40" s="325">
        <v>120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218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16.899999999999999</v>
      </c>
      <c r="H48" s="328">
        <f t="shared" si="2"/>
        <v>16.899999999999999</v>
      </c>
      <c r="I48" s="328">
        <f t="shared" si="2"/>
        <v>23</v>
      </c>
      <c r="J48" s="328">
        <f t="shared" si="2"/>
        <v>23</v>
      </c>
      <c r="K48" s="328">
        <f t="shared" si="2"/>
        <v>120</v>
      </c>
      <c r="L48" s="328">
        <f t="shared" si="2"/>
        <v>120</v>
      </c>
      <c r="M48" s="328">
        <f t="shared" si="2"/>
        <v>3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6.1</v>
      </c>
      <c r="H49" s="328">
        <f t="shared" si="3"/>
        <v>6.1</v>
      </c>
      <c r="I49" s="328">
        <f t="shared" si="3"/>
        <v>4</v>
      </c>
      <c r="J49" s="328">
        <f t="shared" si="3"/>
        <v>4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N15" sqref="N15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АП!Q41</f>
        <v>45457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Кременчуцький парк</v>
      </c>
      <c r="F8" s="325" t="str">
        <f>IFERROR(IF(P8="","",INDEX(ВВОД!$T:$T,MATCH(DAY($A$3),ВВОД!B:B,0))),"")</f>
        <v>1,3,6,7,8,9</v>
      </c>
      <c r="G8" s="326">
        <v>2.8</v>
      </c>
      <c r="H8" s="326">
        <v>2.8</v>
      </c>
      <c r="I8" s="325">
        <v>18</v>
      </c>
      <c r="J8" s="325">
        <v>18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232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>ні</v>
      </c>
      <c r="E9" s="325" t="str">
        <f>IF(P9="","",INDEX(ВВОД!$S:$S,MATCH(DAY($A$3),ВВОД!C:C,0)))</f>
        <v>Роз'їзд 5 км - БП Західний - Знам'янка</v>
      </c>
      <c r="F9" s="325" t="str">
        <f>IFERROR(IF(P9="","",INDEX(ВВОД!$T:$T,MATCH(DAY($A$3),ВВОД!C:C,0))),"")</f>
        <v>2,3,4,5</v>
      </c>
      <c r="G9" s="326">
        <f>IF(P9="","",INDEX(ВВОД!$O:$O,MATCH(DAY($A$3),ВВОД!C:C,0)))</f>
        <v>5.4</v>
      </c>
      <c r="H9" s="326">
        <v>5.4</v>
      </c>
      <c r="I9" s="325">
        <f>IF(P9="","",INDEX(ВВОД!$P:$P,MATCH(DAY($A$3),ВВОД!C:C,0))+INDEX(ВВОД!$Q:$Q,MATCH(DAY($A$3),ВВОД!C:C,0)))</f>
        <v>14</v>
      </c>
      <c r="J9" s="325">
        <v>14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230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>Т.О.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 xml:space="preserve"> так</v>
      </c>
      <c r="E15" s="325" t="str">
        <f>IF(P15="","",INDEX(ВВОД!$S:$S,MATCH(DAY($A$3),ВВОД!I:I,0)))</f>
        <v>Чорноліська - Цибулеве</v>
      </c>
      <c r="F15" s="325" t="str">
        <f>IFERROR(IF(P15="","",INDEX(ВВОД!$T:$T,MATCH(DAY($A$3),ВВОД!I:I,0))),"")</f>
        <v>пар/неп</v>
      </c>
      <c r="G15" s="326">
        <f>IF(P15="","",INDEX(ВВОД!$O:$O,MATCH(DAY($A$3),ВВОД!I:I,0)))</f>
        <v>6</v>
      </c>
      <c r="H15" s="326">
        <v>6</v>
      </c>
      <c r="I15" s="325">
        <f>IF(P15="","",INDEX(ВВОД!$P:$P,MATCH(DAY($A$3),ВВОД!I:I,0))+INDEX(ВВОД!$Q:$Q,MATCH(DAY($A$3),ВВОД!I:I,0)))</f>
        <v>8</v>
      </c>
      <c r="J15" s="325">
        <v>8</v>
      </c>
      <c r="K15" s="325"/>
      <c r="L15" s="325"/>
      <c r="M15" s="325">
        <v>5</v>
      </c>
      <c r="N15" s="325"/>
      <c r="O15" s="325"/>
      <c r="P15" s="14">
        <f>IF(W15="   ",IF(INDEX(АП!$D$1:$AH$40,MATCH(C15,АП!$C$1:$C$40,0),DAY($A$3))=0,"",INDEX(АП!$D$1:$AH$40,MATCH(C15,АП!$C$1:$C$40,0),DAY($A$3))),"")</f>
        <v>233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>ні</v>
      </c>
      <c r="E28" s="340" t="str">
        <f>IF(P28="","",INDEX(ВВОД!$S:$S,MATCH(DAY($A$3),ВВОД!J:J,0)))</f>
        <v>Східна горловина Фастівського парку</v>
      </c>
      <c r="F28" s="339"/>
      <c r="G28" s="341"/>
      <c r="H28" s="341"/>
      <c r="I28" s="339">
        <f>IF(P28="","",INDEX(ВВОД!$P:$P,MATCH(DAY($A$3),ВВОД!J:J,0))+INDEX(ВВОД!$Q:$Q,MATCH(DAY($A$3),ВВОД!J:J,0)))</f>
        <v>12</v>
      </c>
      <c r="J28" s="339">
        <v>12</v>
      </c>
      <c r="K28" s="339"/>
      <c r="L28" s="339"/>
      <c r="M28" s="339"/>
      <c r="N28" s="339"/>
      <c r="O28" s="339"/>
      <c r="P28" s="342">
        <f>IF(W28="   ",IF(INDEX(АП!$D$1:$AH$40,MATCH(C28,АП!$C$1:$C$40,0),DAY($A$3))=0,"",INDEX(АП!$D$1:$AH$40,MATCH(C28,АП!$C$1:$C$40,0),DAY($A$3))),"")</f>
        <v>246</v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49</v>
      </c>
      <c r="F38" s="339" t="s">
        <v>43</v>
      </c>
      <c r="G38" s="341"/>
      <c r="H38" s="341"/>
      <c r="I38" s="339"/>
      <c r="J38" s="339"/>
      <c r="K38" s="339"/>
      <c r="L38" s="339">
        <v>6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240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2048</v>
      </c>
      <c r="E40" s="327" t="s">
        <v>62</v>
      </c>
      <c r="F40" s="325" t="s">
        <v>43</v>
      </c>
      <c r="G40" s="326"/>
      <c r="H40" s="326"/>
      <c r="I40" s="325"/>
      <c r="J40" s="325"/>
      <c r="K40" s="325">
        <v>120</v>
      </c>
      <c r="L40" s="325">
        <v>120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241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14.2</v>
      </c>
      <c r="H48" s="328">
        <f t="shared" si="2"/>
        <v>14.2</v>
      </c>
      <c r="I48" s="328">
        <f t="shared" si="2"/>
        <v>52</v>
      </c>
      <c r="J48" s="328">
        <f t="shared" si="2"/>
        <v>52</v>
      </c>
      <c r="K48" s="328">
        <f t="shared" si="2"/>
        <v>120</v>
      </c>
      <c r="L48" s="328">
        <f t="shared" si="2"/>
        <v>126</v>
      </c>
      <c r="M48" s="328">
        <f t="shared" si="2"/>
        <v>5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6</v>
      </c>
      <c r="H49" s="328">
        <f t="shared" si="3"/>
        <v>6</v>
      </c>
      <c r="I49" s="328">
        <f t="shared" si="3"/>
        <v>8</v>
      </c>
      <c r="J49" s="328">
        <f t="shared" si="3"/>
        <v>8</v>
      </c>
      <c r="K49" s="328">
        <f t="shared" si="3"/>
        <v>0</v>
      </c>
      <c r="L49" s="328">
        <f t="shared" si="3"/>
        <v>6</v>
      </c>
      <c r="M49" s="328">
        <f t="shared" si="3"/>
        <v>5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I42" sqref="I42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АП!R41</f>
        <v>45458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 t="s">
        <v>2049</v>
      </c>
      <c r="E38" s="340" t="s">
        <v>48</v>
      </c>
      <c r="F38" s="339" t="s">
        <v>43</v>
      </c>
      <c r="G38" s="341"/>
      <c r="H38" s="341"/>
      <c r="I38" s="339"/>
      <c r="J38" s="339"/>
      <c r="K38" s="339">
        <v>89</v>
      </c>
      <c r="L38" s="339">
        <v>89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274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2049</v>
      </c>
      <c r="E40" s="327" t="s">
        <v>2076</v>
      </c>
      <c r="F40" s="325" t="s">
        <v>43</v>
      </c>
      <c r="G40" s="326"/>
      <c r="H40" s="326"/>
      <c r="I40" s="325"/>
      <c r="J40" s="325"/>
      <c r="K40" s="325">
        <v>140</v>
      </c>
      <c r="L40" s="325">
        <v>140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259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229</v>
      </c>
      <c r="L48" s="328">
        <f t="shared" si="2"/>
        <v>229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229</v>
      </c>
      <c r="L49" s="328">
        <f t="shared" si="3"/>
        <v>229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АП!S41</f>
        <v>45459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L15" sqref="L15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АП!T41</f>
        <v>45460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>Т.О.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 xml:space="preserve"> так</v>
      </c>
      <c r="E9" s="325" t="str">
        <f>IF(P9="","",INDEX(ВВОД!$S:$S,MATCH(DAY($A$3),ВВОД!C:C,0)))</f>
        <v>Знам'янка пас. - ОП 309 км</v>
      </c>
      <c r="F9" s="325" t="str">
        <f>IFERROR(IF(P9="","",INDEX(ВВОД!$T:$T,MATCH(DAY($A$3),ВВОД!C:C,0))),"")</f>
        <v>неп</v>
      </c>
      <c r="G9" s="326">
        <f>IF(P9="","",INDEX(ВВОД!$O:$O,MATCH(DAY($A$3),ВВОД!C:C,0)))</f>
        <v>6.1</v>
      </c>
      <c r="H9" s="326">
        <v>6.1</v>
      </c>
      <c r="I9" s="325">
        <f>IF(P9="","",INDEX(ВВОД!$P:$P,MATCH(DAY($A$3),ВВОД!C:C,0))+INDEX(ВВОД!$Q:$Q,MATCH(DAY($A$3),ВВОД!C:C,0)))</f>
        <v>3</v>
      </c>
      <c r="J9" s="325">
        <v>3</v>
      </c>
      <c r="K9" s="325"/>
      <c r="L9" s="325"/>
      <c r="M9" s="325">
        <v>6</v>
      </c>
      <c r="N9" s="325"/>
      <c r="O9" s="325"/>
      <c r="P9" s="14">
        <f>IF(W9="   ",IF(INDEX(АП!$D$1:$AH$40,MATCH(C9,АП!$C$1:$C$40,0),DAY($A$3))=0,"",INDEX(АП!$D$1:$AH$40,MATCH(C9,АП!$C$1:$C$40,0),DAY($A$3))),"")</f>
        <v>234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Трепівка - Канатове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6.9</v>
      </c>
      <c r="H11" s="326">
        <v>6.9</v>
      </c>
      <c r="I11" s="325">
        <f>IF(P11="","",INDEX(ВВОД!$P:$P,MATCH(DAY($A$3),ВВОД!E:E,0))+INDEX(ВВОД!$Q:$Q,MATCH(DAY($A$3),ВВОД!E:E,0)))</f>
        <v>2</v>
      </c>
      <c r="J11" s="325">
        <v>2</v>
      </c>
      <c r="K11" s="325"/>
      <c r="L11" s="325"/>
      <c r="M11" s="325">
        <v>13</v>
      </c>
      <c r="N11" s="325"/>
      <c r="O11" s="325"/>
      <c r="P11" s="14">
        <f>IF(W11="   ",IF(INDEX(АП!$D$1:$AH$40,MATCH(C11,АП!$C$1:$C$40,0),DAY($A$3))=0,"",INDEX(АП!$D$1:$AH$40,MATCH(C11,АП!$C$1:$C$40,0),DAY($A$3))),"")</f>
        <v>235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Т.О.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 xml:space="preserve"> так</v>
      </c>
      <c r="E15" s="325" t="str">
        <f>IF(P15="","",INDEX(ВВОД!$S:$S,MATCH(DAY($A$3),ВВОД!I:I,0)))</f>
        <v>Чорноліська - БП Західний</v>
      </c>
      <c r="F15" s="325" t="str">
        <f>IFERROR(IF(P15="","",INDEX(ВВОД!$T:$T,MATCH(DAY($A$3),ВВОД!I:I,0))),"")</f>
        <v>неп/пар</v>
      </c>
      <c r="G15" s="326">
        <f>IF(P15="","",INDEX(ВВОД!$O:$O,MATCH(DAY($A$3),ВВОД!I:I,0)))</f>
        <v>6.8</v>
      </c>
      <c r="H15" s="326">
        <v>6.8</v>
      </c>
      <c r="I15" s="325">
        <f>IF(P15="","",INDEX(ВВОД!$P:$P,MATCH(DAY($A$3),ВВОД!I:I,0))+INDEX(ВВОД!$Q:$Q,MATCH(DAY($A$3),ВВОД!I:I,0)))</f>
        <v>8</v>
      </c>
      <c r="J15" s="325">
        <v>8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236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>ні</v>
      </c>
      <c r="E28" s="340" t="str">
        <f>IF(P28="","",INDEX(ВВОД!$S:$S,MATCH(DAY($A$3),ВВОД!J:J,0)))</f>
        <v>Західна горловина парку відправлення (ГК)</v>
      </c>
      <c r="F28" s="339"/>
      <c r="G28" s="341"/>
      <c r="H28" s="341"/>
      <c r="I28" s="339">
        <f>IF(P28="","",INDEX(ВВОД!$P:$P,MATCH(DAY($A$3),ВВОД!J:J,0))+INDEX(ВВОД!$Q:$Q,MATCH(DAY($A$3),ВВОД!J:J,0)))</f>
        <v>13</v>
      </c>
      <c r="J28" s="339">
        <v>13</v>
      </c>
      <c r="K28" s="339"/>
      <c r="L28" s="339"/>
      <c r="M28" s="339"/>
      <c r="N28" s="339"/>
      <c r="O28" s="339"/>
      <c r="P28" s="342">
        <f>IF(W28="   ",IF(INDEX(АП!$D$1:$AH$40,MATCH(C28,АП!$C$1:$C$40,0),DAY($A$3))=0,"",INDEX(АП!$D$1:$AH$40,MATCH(C28,АП!$C$1:$C$40,0),DAY($A$3))),"")</f>
        <v>296</v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>Резерв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2048</v>
      </c>
      <c r="E40" s="327" t="s">
        <v>48</v>
      </c>
      <c r="F40" s="325" t="s">
        <v>58</v>
      </c>
      <c r="G40" s="326"/>
      <c r="H40" s="326"/>
      <c r="I40" s="325"/>
      <c r="J40" s="325"/>
      <c r="K40" s="325">
        <v>120</v>
      </c>
      <c r="L40" s="325">
        <v>120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298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19.8</v>
      </c>
      <c r="H48" s="328">
        <f t="shared" si="2"/>
        <v>19.8</v>
      </c>
      <c r="I48" s="328">
        <f t="shared" si="2"/>
        <v>26</v>
      </c>
      <c r="J48" s="328">
        <f t="shared" si="2"/>
        <v>26</v>
      </c>
      <c r="K48" s="328">
        <f t="shared" si="2"/>
        <v>120</v>
      </c>
      <c r="L48" s="328">
        <f t="shared" si="2"/>
        <v>120</v>
      </c>
      <c r="M48" s="328">
        <f t="shared" si="2"/>
        <v>19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12.899999999999999</v>
      </c>
      <c r="H49" s="328">
        <f t="shared" si="3"/>
        <v>12.899999999999999</v>
      </c>
      <c r="I49" s="328">
        <f t="shared" si="3"/>
        <v>11</v>
      </c>
      <c r="J49" s="328">
        <f t="shared" si="3"/>
        <v>11</v>
      </c>
      <c r="K49" s="328">
        <f t="shared" si="3"/>
        <v>0</v>
      </c>
      <c r="L49" s="328">
        <f t="shared" si="3"/>
        <v>0</v>
      </c>
      <c r="M49" s="328">
        <f t="shared" si="3"/>
        <v>6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N9" sqref="N9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АП!U41</f>
        <v>45461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 xml:space="preserve"> так</v>
      </c>
      <c r="E8" s="325" t="str">
        <f>IF(P8="","",INDEX(ВВОД!$S:$S,MATCH(DAY($A$3),ВВОД!B:B,0)))</f>
        <v>Знам'янка - Знам'янка пас</v>
      </c>
      <c r="F8" s="325" t="str">
        <f>IFERROR(IF(P8="","",INDEX(ВВОД!$T:$T,MATCH(DAY($A$3),ВВОД!B:B,0))),"")</f>
        <v>пар</v>
      </c>
      <c r="G8" s="326">
        <f>IF(P8="","",INDEX(ВВОД!$O:$O,MATCH(DAY($A$3),ВВОД!B:B,0)))</f>
        <v>4.3</v>
      </c>
      <c r="H8" s="326">
        <v>4.3</v>
      </c>
      <c r="I8" s="325">
        <f>IF(P8="","",INDEX(ВВОД!$P:$P,MATCH(DAY($A$3),ВВОД!B:B,0))+INDEX(ВВОД!$Q:$Q,MATCH(DAY($A$3),ВВОД!B:B,0)))</f>
        <v>11</v>
      </c>
      <c r="J8" s="325">
        <v>11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289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 xml:space="preserve"> так</v>
      </c>
      <c r="E9" s="325" t="str">
        <f>IF(P9="","",INDEX(ВВОД!$S:$S,MATCH(DAY($A$3),ВВОД!C:C,0)))</f>
        <v>ОП 309 км - Пантаївка</v>
      </c>
      <c r="F9" s="325" t="str">
        <f>IFERROR(IF(P9="","",INDEX(ВВОД!$T:$T,MATCH(DAY($A$3),ВВОД!C:C,0))),"")</f>
        <v>неп</v>
      </c>
      <c r="G9" s="326">
        <f>IF(P9="","",INDEX(ВВОД!$O:$O,MATCH(DAY($A$3),ВВОД!C:C,0)))</f>
        <v>4.0999999999999996</v>
      </c>
      <c r="H9" s="326">
        <v>4.0999999999999996</v>
      </c>
      <c r="I9" s="325">
        <f>IF(P9="","",INDEX(ВВОД!$P:$P,MATCH(DAY($A$3),ВВОД!C:C,0))+INDEX(ВВОД!$Q:$Q,MATCH(DAY($A$3),ВВОД!C:C,0)))</f>
        <v>1</v>
      </c>
      <c r="J9" s="325">
        <v>1</v>
      </c>
      <c r="K9" s="325"/>
      <c r="L9" s="325"/>
      <c r="M9" s="325">
        <v>4</v>
      </c>
      <c r="N9" s="325"/>
      <c r="O9" s="325"/>
      <c r="P9" s="14">
        <f>IF(W9="   ",IF(INDEX(АП!$D$1:$AH$40,MATCH(C9,АП!$C$1:$C$40,0),DAY($A$3))=0,"",INDEX(АП!$D$1:$AH$40,MATCH(C9,АП!$C$1:$C$40,0),DAY($A$3))),"")</f>
        <v>288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Трепівка - Канатове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4.8</v>
      </c>
      <c r="H11" s="326">
        <v>4.8</v>
      </c>
      <c r="I11" s="325">
        <f>IF(P11="","",INDEX(ВВОД!$P:$P,MATCH(DAY($A$3),ВВОД!E:E,0))+INDEX(ВВОД!$Q:$Q,MATCH(DAY($A$3),ВВОД!E:E,0)))</f>
        <v>1</v>
      </c>
      <c r="J11" s="325">
        <v>1</v>
      </c>
      <c r="K11" s="325"/>
      <c r="L11" s="325"/>
      <c r="M11" s="325">
        <v>5</v>
      </c>
      <c r="N11" s="325"/>
      <c r="O11" s="325"/>
      <c r="P11" s="14">
        <f>IF(W11="   ",IF(INDEX(АП!$D$1:$AH$40,MATCH(C11,АП!$C$1:$C$40,0),DAY($A$3))=0,"",INDEX(АП!$D$1:$AH$40,MATCH(C11,АП!$C$1:$C$40,0),DAY($A$3))),"")</f>
        <v>290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>ні</v>
      </c>
      <c r="E14" s="325" t="str">
        <f>IF(P14="","",INDEX(ВВОД!$S:$S,MATCH(DAY($A$3),ВВОД!H:H,0)))</f>
        <v>Кременчуцький парк</v>
      </c>
      <c r="F14" s="325" t="str">
        <f>IFERROR(IF(P14="","",INDEX(ВВОД!$T:$T,MATCH(DAY($A$3),ВВОД!H:H,0))),"")</f>
        <v xml:space="preserve">4,5,42,43 </v>
      </c>
      <c r="G14" s="326">
        <f>IF(P14="","",INDEX(ВВОД!$O:$O,MATCH(DAY($A$3),ВВОД!H:H,0)))</f>
        <v>3.3</v>
      </c>
      <c r="H14" s="326">
        <v>3.3</v>
      </c>
      <c r="I14" s="325">
        <f>IF(P14="","",INDEX(ВВОД!$P:$P,MATCH(DAY($A$3),ВВОД!H:H,0))+INDEX(ВВОД!$Q:$Q,MATCH(DAY($A$3),ВВОД!H:H,0)))</f>
        <v>26</v>
      </c>
      <c r="J14" s="325">
        <v>26</v>
      </c>
      <c r="K14" s="325"/>
      <c r="L14" s="325"/>
      <c r="M14" s="325"/>
      <c r="N14" s="325"/>
      <c r="O14" s="325"/>
      <c r="P14" s="49">
        <f>IF(W14="   ",IF(INDEX(АП!$D$1:$AH$40,MATCH(C14,АП!$C$1:$C$40,0),DAY($A$3))=0,"",INDEX(АП!$D$1:$AH$40,MATCH(C14,АП!$C$1:$C$40,0),DAY($A$3))),"")</f>
        <v>292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Чорноліська - Трепівка</v>
      </c>
      <c r="F15" s="325" t="str">
        <f>IFERROR(IF(P15="","",INDEX(ВВОД!$T:$T,MATCH(DAY($A$3),ВВОД!I:I,0))),"")</f>
        <v>пар</v>
      </c>
      <c r="G15" s="326">
        <f>IF(P15="","",INDEX(ВВОД!$O:$O,MATCH(DAY($A$3),ВВОД!I:I,0)))</f>
        <v>7.3</v>
      </c>
      <c r="H15" s="326">
        <v>7.3</v>
      </c>
      <c r="I15" s="325">
        <f>IF(P15="","",INDEX(ВВОД!$P:$P,MATCH(DAY($A$3),ВВОД!I:I,0))+INDEX(ВВОД!$Q:$Q,MATCH(DAY($A$3),ВВОД!I:I,0)))</f>
        <v>4</v>
      </c>
      <c r="J15" s="325">
        <v>4</v>
      </c>
      <c r="K15" s="325"/>
      <c r="L15" s="325"/>
      <c r="M15" s="325">
        <v>8</v>
      </c>
      <c r="N15" s="325"/>
      <c r="O15" s="325"/>
      <c r="P15" s="14">
        <f>IF(W15="   ",IF(INDEX(АП!$D$1:$AH$40,MATCH(C15,АП!$C$1:$C$40,0),DAY($A$3))=0,"",INDEX(АП!$D$1:$AH$40,MATCH(C15,АП!$C$1:$C$40,0),DAY($A$3))),"")</f>
        <v>291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>Резерв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23.8</v>
      </c>
      <c r="H48" s="328">
        <f t="shared" si="2"/>
        <v>23.8</v>
      </c>
      <c r="I48" s="328">
        <f t="shared" si="2"/>
        <v>43</v>
      </c>
      <c r="J48" s="328">
        <f t="shared" si="2"/>
        <v>43</v>
      </c>
      <c r="K48" s="328">
        <f t="shared" si="2"/>
        <v>0</v>
      </c>
      <c r="L48" s="328">
        <f t="shared" si="2"/>
        <v>0</v>
      </c>
      <c r="M48" s="328">
        <f t="shared" si="2"/>
        <v>17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8.3999999999999986</v>
      </c>
      <c r="H49" s="328">
        <f t="shared" si="3"/>
        <v>8.3999999999999986</v>
      </c>
      <c r="I49" s="328">
        <f t="shared" si="3"/>
        <v>12</v>
      </c>
      <c r="J49" s="328">
        <f t="shared" si="3"/>
        <v>12</v>
      </c>
      <c r="K49" s="328">
        <f t="shared" si="3"/>
        <v>0</v>
      </c>
      <c r="L49" s="328">
        <f t="shared" si="3"/>
        <v>0</v>
      </c>
      <c r="M49" s="328">
        <f t="shared" si="3"/>
        <v>4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>
    <tabColor rgb="FF00FF00"/>
    <pageSetUpPr fitToPage="1"/>
  </sheetPr>
  <dimension ref="A1:AC76"/>
  <sheetViews>
    <sheetView showWhiteSpace="0" view="pageLayout" topLeftCell="A4" zoomScale="110" zoomScaleSheetLayoutView="120" zoomScalePageLayoutView="110" workbookViewId="0">
      <selection activeCell="I15" sqref="I15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АП!V41</f>
        <v>45462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Трепівка - Чорноліська</v>
      </c>
      <c r="F8" s="325" t="str">
        <f>IFERROR(IF(P8="","",INDEX(ВВОД!$T:$T,MATCH(DAY($A$3),ВВОД!B:B,0))),"")</f>
        <v>неп</v>
      </c>
      <c r="G8" s="326">
        <f>IF(P8="","",INDEX(ВВОД!$O:$O,MATCH(DAY($A$3),ВВОД!B:B,0)))</f>
        <v>6.7</v>
      </c>
      <c r="H8" s="326">
        <v>6.7</v>
      </c>
      <c r="I8" s="325">
        <f>IF(P8="","",INDEX(ВВОД!$P:$P,MATCH(DAY($A$3),ВВОД!B:B,0))+INDEX(ВВОД!$Q:$Q,MATCH(DAY($A$3),ВВОД!B:B,0)))</f>
        <v>2</v>
      </c>
      <c r="J8" s="325">
        <v>2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308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 xml:space="preserve"> так</v>
      </c>
      <c r="E9" s="325" t="str">
        <f>IF(P9="","",INDEX(ВВОД!$S:$S,MATCH(DAY($A$3),ВВОД!C:C,0)))</f>
        <v>ОП 309 км - Пантаївка</v>
      </c>
      <c r="F9" s="325" t="str">
        <f>IFERROR(IF(P9="","",INDEX(ВВОД!$T:$T,MATCH(DAY($A$3),ВВОД!C:C,0))),"")</f>
        <v>неп/пар</v>
      </c>
      <c r="G9" s="326">
        <f>IF(P9="","",INDEX(ВВОД!$O:$O,MATCH(DAY($A$3),ВВОД!C:C,0)))</f>
        <v>7.6</v>
      </c>
      <c r="H9" s="326">
        <v>7.6</v>
      </c>
      <c r="I9" s="325">
        <f>IF(P9="","",INDEX(ВВОД!$P:$P,MATCH(DAY($A$3),ВВОД!C:C,0))+INDEX(ВВОД!$Q:$Q,MATCH(DAY($A$3),ВВОД!C:C,0)))</f>
        <v>0</v>
      </c>
      <c r="J9" s="325">
        <v>0</v>
      </c>
      <c r="K9" s="325"/>
      <c r="L9" s="325"/>
      <c r="M9" s="325">
        <v>4</v>
      </c>
      <c r="N9" s="325"/>
      <c r="O9" s="325"/>
      <c r="P9" s="14">
        <f>IF(W9="   ",IF(INDEX(АП!$D$1:$AH$40,MATCH(C9,АП!$C$1:$C$40,0),DAY($A$3))=0,"",INDEX(АП!$D$1:$AH$40,MATCH(C9,АП!$C$1:$C$40,0),DAY($A$3))),"")</f>
        <v>307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Канатове - Кропивницький</v>
      </c>
      <c r="F11" s="325" t="str">
        <f>IFERROR(IF(P11="","",INDEX(ВВОД!$T:$T,MATCH(DAY($A$3),ВВОД!E:E,0))),"")</f>
        <v>пар</v>
      </c>
      <c r="G11" s="326">
        <f>IF(P11="","",INDEX(ВВОД!$O:$O,MATCH(DAY($A$3),ВВОД!E:E,0)))</f>
        <v>8.8000000000000007</v>
      </c>
      <c r="H11" s="326">
        <v>8.8000000000000007</v>
      </c>
      <c r="I11" s="325">
        <f>IF(P11="","",INDEX(ВВОД!$P:$P,MATCH(DAY($A$3),ВВОД!E:E,0))+INDEX(ВВОД!$Q:$Q,MATCH(DAY($A$3),ВВОД!E:E,0)))</f>
        <v>8</v>
      </c>
      <c r="J11" s="325">
        <v>8</v>
      </c>
      <c r="K11" s="325"/>
      <c r="L11" s="325"/>
      <c r="M11" s="325">
        <v>2</v>
      </c>
      <c r="N11" s="325"/>
      <c r="O11" s="325"/>
      <c r="P11" s="14">
        <f>IF(W11="   ",IF(INDEX(АП!$D$1:$AH$40,MATCH(C11,АП!$C$1:$C$40,0),DAY($A$3))=0,"",INDEX(АП!$D$1:$AH$40,MATCH(C11,АП!$C$1:$C$40,0),DAY($A$3))),"")</f>
        <v>309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>ні</v>
      </c>
      <c r="E14" s="325" t="str">
        <f>IF(P14="","",INDEX(ВВОД!$S:$S,MATCH(DAY($A$3),ВВОД!H:H,0)))</f>
        <v>Роз'їзд 5 км - ОП 309 км</v>
      </c>
      <c r="F14" s="325" t="str">
        <f>IFERROR(IF(P14="","",INDEX(ВВОД!$T:$T,MATCH(DAY($A$3),ВВОД!H:H,0))),"")</f>
        <v>одн</v>
      </c>
      <c r="G14" s="326">
        <f>IF(P14="","",INDEX(ВВОД!$O:$O,MATCH(DAY($A$3),ВВОД!H:H,0)))</f>
        <v>8.1999999999999993</v>
      </c>
      <c r="H14" s="326">
        <v>8.1999999999999993</v>
      </c>
      <c r="I14" s="325">
        <f>IF(P14="","",INDEX(ВВОД!$P:$P,MATCH(DAY($A$3),ВВОД!H:H,0))+INDEX(ВВОД!$Q:$Q,MATCH(DAY($A$3),ВВОД!H:H,0)))</f>
        <v>4</v>
      </c>
      <c r="J14" s="325">
        <v>4</v>
      </c>
      <c r="K14" s="325"/>
      <c r="L14" s="325"/>
      <c r="M14" s="325">
        <v>7</v>
      </c>
      <c r="N14" s="325"/>
      <c r="O14" s="325"/>
      <c r="P14" s="49">
        <f>IF(W14="   ",IF(INDEX(АП!$D$1:$AH$40,MATCH(C14,АП!$C$1:$C$40,0),DAY($A$3))=0,"",INDEX(АП!$D$1:$AH$40,MATCH(C14,АП!$C$1:$C$40,0),DAY($A$3))),"")</f>
        <v>311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>ні</v>
      </c>
      <c r="E15" s="325" t="str">
        <f>IF(P15="","",INDEX(ВВОД!$S:$S,MATCH(DAY($A$3),ВВОД!I:I,0)))</f>
        <v>Чорноліська - Трепівка</v>
      </c>
      <c r="F15" s="325" t="str">
        <f>IFERROR(IF(P15="","",INDEX(ВВОД!$T:$T,MATCH(DAY($A$3),ВВОД!I:I,0))),"")</f>
        <v>пар</v>
      </c>
      <c r="G15" s="326">
        <f>IF(P15="","",INDEX(ВВОД!$O:$O,MATCH(DAY($A$3),ВВОД!I:I,0)))</f>
        <v>6.7</v>
      </c>
      <c r="H15" s="326">
        <v>6.7</v>
      </c>
      <c r="I15" s="325">
        <f>IF(P15="","",INDEX(ВВОД!$P:$P,MATCH(DAY($A$3),ВВОД!I:I,0))+INDEX(ВВОД!$Q:$Q,MATCH(DAY($A$3),ВВОД!I:I,0)))</f>
        <v>1</v>
      </c>
      <c r="J15" s="325">
        <v>1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310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>Резерв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38</v>
      </c>
      <c r="H48" s="328">
        <f t="shared" si="2"/>
        <v>38</v>
      </c>
      <c r="I48" s="328">
        <f t="shared" si="2"/>
        <v>15</v>
      </c>
      <c r="J48" s="328">
        <f t="shared" si="2"/>
        <v>15</v>
      </c>
      <c r="K48" s="328">
        <f t="shared" si="2"/>
        <v>0</v>
      </c>
      <c r="L48" s="328">
        <f t="shared" si="2"/>
        <v>0</v>
      </c>
      <c r="M48" s="328">
        <f t="shared" si="2"/>
        <v>13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7.6</v>
      </c>
      <c r="H49" s="328">
        <f t="shared" si="3"/>
        <v>7.6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4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4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H14" sqref="H14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АП!W41</f>
        <v>45463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Трепівка - Чорноліська</v>
      </c>
      <c r="F8" s="325" t="str">
        <f>IFERROR(IF(P8="","",INDEX(ВВОД!$T:$T,MATCH(DAY($A$3),ВВОД!B:B,0))),"")</f>
        <v>неп</v>
      </c>
      <c r="G8" s="326">
        <f>IF(P8="","",INDEX(ВВОД!$O:$O,MATCH(DAY($A$3),ВВОД!B:B,0)))</f>
        <v>7.3</v>
      </c>
      <c r="H8" s="326">
        <v>7.3</v>
      </c>
      <c r="I8" s="325">
        <f>IF(P8="","",INDEX(ВВОД!$P:$P,MATCH(DAY($A$3),ВВОД!B:B,0))+INDEX(ВВОД!$Q:$Q,MATCH(DAY($A$3),ВВОД!B:B,0)))</f>
        <v>3</v>
      </c>
      <c r="J8" s="325">
        <v>3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313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 xml:space="preserve"> так</v>
      </c>
      <c r="E9" s="325" t="str">
        <f>IF(P9="","",INDEX(ВВОД!$S:$S,MATCH(DAY($A$3),ВВОД!C:C,0)))</f>
        <v>Пантаївка - ОП 309 км</v>
      </c>
      <c r="F9" s="325" t="str">
        <f>IFERROR(IF(P9="","",INDEX(ВВОД!$T:$T,MATCH(DAY($A$3),ВВОД!C:C,0))),"")</f>
        <v>пар</v>
      </c>
      <c r="G9" s="326">
        <f>IF(P9="","",INDEX(ВВОД!$O:$O,MATCH(DAY($A$3),ВВОД!C:C,0)))</f>
        <v>4.0999999999999996</v>
      </c>
      <c r="H9" s="326">
        <v>4.0999999999999996</v>
      </c>
      <c r="I9" s="325">
        <f>IF(P9="","",INDEX(ВВОД!$P:$P,MATCH(DAY($A$3),ВВОД!C:C,0))+INDEX(ВВОД!$Q:$Q,MATCH(DAY($A$3),ВВОД!C:C,0)))</f>
        <v>2</v>
      </c>
      <c r="J9" s="325">
        <v>2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312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Канатове - Кропивницький</v>
      </c>
      <c r="F11" s="325" t="str">
        <f>IFERROR(IF(P11="","",INDEX(ВВОД!$T:$T,MATCH(DAY($A$3),ВВОД!E:E,0))),"")</f>
        <v>пар/неп</v>
      </c>
      <c r="G11" s="326">
        <f>IF(P11="","",INDEX(ВВОД!$O:$O,MATCH(DAY($A$3),ВВОД!E:E,0)))</f>
        <v>5</v>
      </c>
      <c r="H11" s="326">
        <v>5</v>
      </c>
      <c r="I11" s="325">
        <f>IF(P11="","",INDEX(ВВОД!$P:$P,MATCH(DAY($A$3),ВВОД!E:E,0))+INDEX(ВВОД!$Q:$Q,MATCH(DAY($A$3),ВВОД!E:E,0)))</f>
        <v>0</v>
      </c>
      <c r="J11" s="325">
        <v>0</v>
      </c>
      <c r="K11" s="325"/>
      <c r="L11" s="325"/>
      <c r="M11" s="325"/>
      <c r="N11" s="325"/>
      <c r="O11" s="325"/>
      <c r="P11" s="14">
        <f>IF(W11="   ",IF(INDEX(АП!$D$1:$AH$40,MATCH(C11,АП!$C$1:$C$40,0),DAY($A$3))=0,"",INDEX(АП!$D$1:$AH$40,MATCH(C11,АП!$C$1:$C$40,0),DAY($A$3))),"")</f>
        <v>314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>ні</v>
      </c>
      <c r="E14" s="325" t="str">
        <f>IF(P14="","",INDEX(ВВОД!$S:$S,MATCH(DAY($A$3),ВВОД!H:H,0)))</f>
        <v>Роз'їзд 5 км - ОП 309 км</v>
      </c>
      <c r="F14" s="325" t="str">
        <f>IFERROR(IF(P14="","",INDEX(ВВОД!$T:$T,MATCH(DAY($A$3),ВВОД!H:H,0))),"")</f>
        <v>одн</v>
      </c>
      <c r="G14" s="326">
        <f>IF(P14="","",INDEX(ВВОД!$O:$O,MATCH(DAY($A$3),ВВОД!H:H,0)))</f>
        <v>8</v>
      </c>
      <c r="H14" s="326">
        <v>8</v>
      </c>
      <c r="I14" s="325">
        <f>IF(P14="","",INDEX(ВВОД!$P:$P,MATCH(DAY($A$3),ВВОД!H:H,0))+INDEX(ВВОД!$Q:$Q,MATCH(DAY($A$3),ВВОД!H:H,0)))</f>
        <v>1</v>
      </c>
      <c r="J14" s="325">
        <v>1</v>
      </c>
      <c r="K14" s="325"/>
      <c r="L14" s="325"/>
      <c r="M14" s="325"/>
      <c r="N14" s="325"/>
      <c r="O14" s="325"/>
      <c r="P14" s="49">
        <f>IF(W14="   ",IF(INDEX(АП!$D$1:$AH$40,MATCH(C14,АП!$C$1:$C$40,0),DAY($A$3))=0,"",INDEX(АП!$D$1:$AH$40,MATCH(C14,АП!$C$1:$C$40,0),DAY($A$3))),"")</f>
        <v>319</v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 xml:space="preserve"> так</v>
      </c>
      <c r="E15" s="325" t="str">
        <f>IF(P15="","",INDEX(ВВОД!$S:$S,MATCH(DAY($A$3),ВВОД!I:I,0)))</f>
        <v>Знам'янка - Знам'янка пас</v>
      </c>
      <c r="F15" s="325" t="str">
        <f>IFERROR(IF(P15="","",INDEX(ВВОД!$T:$T,MATCH(DAY($A$3),ВВОД!I:I,0))),"")</f>
        <v>неп</v>
      </c>
      <c r="G15" s="326">
        <f>IF(P15="","",INDEX(ВВОД!$O:$O,MATCH(DAY($A$3),ВВОД!I:I,0)))</f>
        <v>4.8</v>
      </c>
      <c r="H15" s="326">
        <v>4.8</v>
      </c>
      <c r="I15" s="325">
        <f>IF(P15="","",INDEX(ВВОД!$P:$P,MATCH(DAY($A$3),ВВОД!I:I,0))+INDEX(ВВОД!$Q:$Q,MATCH(DAY($A$3),ВВОД!I:I,0)))</f>
        <v>11</v>
      </c>
      <c r="J15" s="325">
        <v>11</v>
      </c>
      <c r="K15" s="325"/>
      <c r="L15" s="325"/>
      <c r="M15" s="325"/>
      <c r="N15" s="325"/>
      <c r="O15" s="325"/>
      <c r="P15" s="14">
        <f>IF(W15="   ",IF(INDEX(АП!$D$1:$AH$40,MATCH(C15,АП!$C$1:$C$40,0),DAY($A$3))=0,"",INDEX(АП!$D$1:$AH$40,MATCH(C15,АП!$C$1:$C$40,0),DAY($A$3))),"")</f>
        <v>315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>Резерв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29.2</v>
      </c>
      <c r="H48" s="328">
        <f t="shared" si="2"/>
        <v>29.2</v>
      </c>
      <c r="I48" s="328">
        <f t="shared" si="2"/>
        <v>17</v>
      </c>
      <c r="J48" s="328">
        <f t="shared" si="2"/>
        <v>17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8.8999999999999986</v>
      </c>
      <c r="H49" s="328">
        <f t="shared" si="3"/>
        <v>8.8999999999999986</v>
      </c>
      <c r="I49" s="328">
        <f t="shared" si="3"/>
        <v>13</v>
      </c>
      <c r="J49" s="328">
        <f t="shared" si="3"/>
        <v>13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5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N11" sqref="N11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АП!X41</f>
        <v>45464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>ні</v>
      </c>
      <c r="E8" s="325" t="str">
        <f>IF(P8="","",INDEX(ВВОД!$S:$S,MATCH(DAY($A$3),ВВОД!B:B,0)))</f>
        <v>ст Чорноліська</v>
      </c>
      <c r="F8" s="325" t="str">
        <f>IFERROR(IF(P8="","",INDEX(ВВОД!$T:$T,MATCH(DAY($A$3),ВВОД!B:B,0))),"")</f>
        <v>3,5Б,6,7,7А</v>
      </c>
      <c r="G8" s="326">
        <v>2.6</v>
      </c>
      <c r="H8" s="326">
        <v>2.6</v>
      </c>
      <c r="I8" s="325">
        <v>16</v>
      </c>
      <c r="J8" s="325">
        <v>16</v>
      </c>
      <c r="K8" s="325"/>
      <c r="L8" s="325"/>
      <c r="M8" s="325"/>
      <c r="N8" s="325"/>
      <c r="O8" s="325"/>
      <c r="P8" s="14">
        <f>IF(W8="   ",IF(INDEX(АП!$D$1:$AH$40,MATCH(C8,АП!$C$1:$C$40,0),DAY($A$3))=0,"",INDEX(АП!$D$1:$AH$40,MATCH(C8,АП!$C$1:$C$40,0),DAY($A$3))),"")</f>
        <v>336</v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 xml:space="preserve"> так</v>
      </c>
      <c r="E9" s="325" t="str">
        <f>IF(P9="","",INDEX(ВВОД!$S:$S,MATCH(DAY($A$3),ВВОД!C:C,0)))</f>
        <v>ОП 309 км - Знам'янка пас.</v>
      </c>
      <c r="F9" s="325" t="str">
        <f>IFERROR(IF(P9="","",INDEX(ВВОД!$T:$T,MATCH(DAY($A$3),ВВОД!C:C,0))),"")</f>
        <v>пар</v>
      </c>
      <c r="G9" s="326">
        <f>IF(P9="","",INDEX(ВВОД!$O:$O,MATCH(DAY($A$3),ВВОД!C:C,0)))</f>
        <v>6.1</v>
      </c>
      <c r="H9" s="326">
        <v>6.1</v>
      </c>
      <c r="I9" s="325">
        <f>IF(P9="","",INDEX(ВВОД!$P:$P,MATCH(DAY($A$3),ВВОД!C:C,0))+INDEX(ВВОД!$Q:$Q,MATCH(DAY($A$3),ВВОД!C:C,0)))</f>
        <v>4</v>
      </c>
      <c r="J9" s="325">
        <v>4</v>
      </c>
      <c r="K9" s="325"/>
      <c r="L9" s="325"/>
      <c r="M9" s="325"/>
      <c r="N9" s="325"/>
      <c r="O9" s="325"/>
      <c r="P9" s="14">
        <f>IF(W9="   ",IF(INDEX(АП!$D$1:$AH$40,MATCH(C9,АП!$C$1:$C$40,0),DAY($A$3))=0,"",INDEX(АП!$D$1:$AH$40,MATCH(C9,АП!$C$1:$C$40,0),DAY($A$3))),"")</f>
        <v>365</v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>ні</v>
      </c>
      <c r="E11" s="325" t="str">
        <f>IF(P11="","",INDEX(ВВОД!$S:$S,MATCH(DAY($A$3),ВВОД!E:E,0)))</f>
        <v>Кропивницький - Канатове</v>
      </c>
      <c r="F11" s="325" t="str">
        <f>IFERROR(IF(P11="","",INDEX(ВВОД!$T:$T,MATCH(DAY($A$3),ВВОД!E:E,0))),"")</f>
        <v>неп</v>
      </c>
      <c r="G11" s="326">
        <f>IF(P11="","",INDEX(ВВОД!$O:$O,MATCH(DAY($A$3),ВВОД!E:E,0)))</f>
        <v>9</v>
      </c>
      <c r="H11" s="326">
        <v>9</v>
      </c>
      <c r="I11" s="325">
        <f>IF(P11="","",INDEX(ВВОД!$P:$P,MATCH(DAY($A$3),ВВОД!E:E,0))+INDEX(ВВОД!$Q:$Q,MATCH(DAY($A$3),ВВОД!E:E,0)))</f>
        <v>6</v>
      </c>
      <c r="J11" s="325">
        <v>6</v>
      </c>
      <c r="K11" s="325"/>
      <c r="L11" s="325"/>
      <c r="M11" s="325">
        <v>7</v>
      </c>
      <c r="N11" s="325"/>
      <c r="O11" s="325"/>
      <c r="P11" s="14">
        <f>IF(W11="   ",IF(INDEX(АП!$D$1:$AH$40,MATCH(C11,АП!$C$1:$C$40,0),DAY($A$3))=0,"",INDEX(АП!$D$1:$AH$40,MATCH(C11,АП!$C$1:$C$40,0),DAY($A$3))),"")</f>
        <v>667</v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 xml:space="preserve"> так</v>
      </c>
      <c r="E15" s="325" t="str">
        <f>IF(P15="","",INDEX(ВВОД!$S:$S,MATCH(DAY($A$3),ВВОД!I:I,0)))</f>
        <v>Роз'їзд 5 км - Сахарна</v>
      </c>
      <c r="F15" s="325" t="str">
        <f>IFERROR(IF(P15="","",INDEX(ВВОД!$T:$T,MATCH(DAY($A$3),ВВОД!I:I,0))),"")</f>
        <v>одн, 4к</v>
      </c>
      <c r="G15" s="326">
        <f>IF(P15="","",INDEX(ВВОД!$O:$O,MATCH(DAY($A$3),ВВОД!I:I,0)))</f>
        <v>8.1</v>
      </c>
      <c r="H15" s="326">
        <v>8.1</v>
      </c>
      <c r="I15" s="325">
        <f>IF(P15="","",INDEX(ВВОД!$P:$P,MATCH(DAY($A$3),ВВОД!I:I,0))+INDEX(ВВОД!$Q:$Q,MATCH(DAY($A$3),ВВОД!I:I,0)))</f>
        <v>10</v>
      </c>
      <c r="J15" s="325">
        <v>10</v>
      </c>
      <c r="K15" s="325"/>
      <c r="L15" s="325"/>
      <c r="M15" s="325">
        <v>2</v>
      </c>
      <c r="N15" s="325"/>
      <c r="O15" s="325"/>
      <c r="P15" s="14">
        <f>IF(W15="   ",IF(INDEX(АП!$D$1:$AH$40,MATCH(C15,АП!$C$1:$C$40,0),DAY($A$3))=0,"",INDEX(АП!$D$1:$AH$40,MATCH(C15,АП!$C$1:$C$40,0),DAY($A$3))),"")</f>
        <v>368.36900000000003</v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>Резерв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>Резерв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2048</v>
      </c>
      <c r="E40" s="327" t="s">
        <v>67</v>
      </c>
      <c r="F40" s="325" t="s">
        <v>58</v>
      </c>
      <c r="G40" s="326"/>
      <c r="H40" s="326"/>
      <c r="I40" s="325"/>
      <c r="J40" s="325"/>
      <c r="K40" s="325">
        <v>120</v>
      </c>
      <c r="L40" s="325">
        <v>120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382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25.799999999999997</v>
      </c>
      <c r="H48" s="328">
        <f t="shared" si="2"/>
        <v>25.799999999999997</v>
      </c>
      <c r="I48" s="328">
        <f t="shared" si="2"/>
        <v>36</v>
      </c>
      <c r="J48" s="328">
        <f t="shared" si="2"/>
        <v>36</v>
      </c>
      <c r="K48" s="328">
        <f t="shared" si="2"/>
        <v>120</v>
      </c>
      <c r="L48" s="328">
        <f t="shared" si="2"/>
        <v>120</v>
      </c>
      <c r="M48" s="328">
        <f t="shared" si="2"/>
        <v>9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14.2</v>
      </c>
      <c r="H49" s="328">
        <f t="shared" si="3"/>
        <v>14.2</v>
      </c>
      <c r="I49" s="328">
        <f t="shared" si="3"/>
        <v>14</v>
      </c>
      <c r="J49" s="328">
        <f t="shared" si="3"/>
        <v>14</v>
      </c>
      <c r="K49" s="328">
        <f t="shared" si="3"/>
        <v>0</v>
      </c>
      <c r="L49" s="328">
        <f t="shared" si="3"/>
        <v>0</v>
      </c>
      <c r="M49" s="328">
        <f t="shared" si="3"/>
        <v>2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>
    <tabColor rgb="FF00FF00"/>
    <pageSetUpPr fitToPage="1"/>
  </sheetPr>
  <dimension ref="A1:AC76"/>
  <sheetViews>
    <sheetView showWhiteSpace="0" view="pageLayout" topLeftCell="A13" zoomScale="110" zoomScaleSheetLayoutView="120" zoomScalePageLayoutView="110" workbookViewId="0">
      <selection activeCell="J31" sqref="J31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АП!Y41</f>
        <v>45465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/>
      <c r="H15" s="326"/>
      <c r="I15" s="325"/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25" t="s">
        <v>2049</v>
      </c>
      <c r="E38" s="327" t="s">
        <v>211</v>
      </c>
      <c r="F38" s="325" t="s">
        <v>47</v>
      </c>
      <c r="G38" s="341"/>
      <c r="H38" s="341"/>
      <c r="I38" s="339"/>
      <c r="J38" s="339"/>
      <c r="K38" s="339">
        <v>150</v>
      </c>
      <c r="L38" s="339">
        <v>150</v>
      </c>
      <c r="M38" s="339"/>
      <c r="N38" s="339"/>
      <c r="O38" s="339"/>
      <c r="P38" s="342">
        <f>IF(W38="   ",IF(INDEX(АП!$D$1:$AH$40,MATCH(C38,АП!$C$1:$C$40,0),DAY($A$3))=0,"",INDEX(АП!$D$1:$AH$40,MATCH(C38,АП!$C$1:$C$40,0),DAY($A$3))),"")</f>
        <v>436</v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 t="s">
        <v>2049</v>
      </c>
      <c r="E39" s="327" t="s">
        <v>211</v>
      </c>
      <c r="F39" s="325" t="s">
        <v>47</v>
      </c>
      <c r="G39" s="326"/>
      <c r="H39" s="326"/>
      <c r="I39" s="325"/>
      <c r="J39" s="325"/>
      <c r="K39" s="325">
        <v>201</v>
      </c>
      <c r="L39" s="325">
        <v>201</v>
      </c>
      <c r="M39" s="325"/>
      <c r="N39" s="325"/>
      <c r="O39" s="325"/>
      <c r="P39" s="14">
        <f>IF(W39="   ",IF(INDEX(АП!$D$1:$AH$40,MATCH(C39,АП!$C$1:$C$40,0),DAY($A$3))=0,"",INDEX(АП!$D$1:$AH$40,MATCH(C39,АП!$C$1:$C$40,0),DAY($A$3))),"")</f>
        <v>436</v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 t="s">
        <v>2049</v>
      </c>
      <c r="E40" s="327" t="s">
        <v>211</v>
      </c>
      <c r="F40" s="325" t="s">
        <v>47</v>
      </c>
      <c r="G40" s="326"/>
      <c r="H40" s="326"/>
      <c r="I40" s="325"/>
      <c r="J40" s="325"/>
      <c r="K40" s="325">
        <v>225</v>
      </c>
      <c r="L40" s="325">
        <v>225</v>
      </c>
      <c r="M40" s="325"/>
      <c r="N40" s="325"/>
      <c r="O40" s="325"/>
      <c r="P40" s="14">
        <f>IF(W40="   ",IF(INDEX(АП!$D$1:$AH$40,MATCH(C40,АП!$C$1:$C$40,0),DAY($A$3))=0,"",INDEX(АП!$D$1:$AH$40,MATCH(C40,АП!$C$1:$C$40,0),DAY($A$3))),"")</f>
        <v>436</v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576</v>
      </c>
      <c r="L48" s="328">
        <f t="shared" si="2"/>
        <v>576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576</v>
      </c>
      <c r="L49" s="328">
        <f t="shared" si="3"/>
        <v>576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7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АП!Z41</f>
        <v>45466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8">
    <tabColor rgb="FF00FF00"/>
    <pageSetUpPr fitToPage="1"/>
  </sheetPr>
  <dimension ref="A1:AC76"/>
  <sheetViews>
    <sheetView showWhiteSpace="0" view="pageLayout" topLeftCell="A16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АП!AA41</f>
        <v>45467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9">
    <tabColor rgb="FF00FF00"/>
    <pageSetUpPr fitToPage="1"/>
  </sheetPr>
  <dimension ref="A1:AC76"/>
  <sheetViews>
    <sheetView showWhiteSpace="0" view="pageLayout" topLeftCell="A22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АП!AB41</f>
        <v>45468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30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АП!AC41</f>
        <v>45469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1">
    <tabColor rgb="FF00FF00"/>
    <pageSetUpPr fitToPage="1"/>
  </sheetPr>
  <dimension ref="A1:AC76"/>
  <sheetViews>
    <sheetView showWhiteSpace="0" view="pageLayout" topLeftCell="A22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АП!AD41</f>
        <v>45470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2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АП!AE41</f>
        <v>45471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>Ремонт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>Ремонт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>Резерв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>Резерв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>Ремонт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>Ремонт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>Ремонт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>На списанні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>Резерв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>Резерв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>На списанні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>Резерв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>Резерв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>Резерв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>На списанні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3">
    <tabColor rgb="FF00FF00"/>
    <pageSetUpPr fitToPage="1"/>
  </sheetPr>
  <dimension ref="A1:AC76"/>
  <sheetViews>
    <sheetView showWhiteSpace="0" view="pageLayout" topLeftCell="A31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АП!AF41</f>
        <v>45472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4">
    <tabColor rgb="FF00FF00"/>
    <pageSetUpPr fitToPage="1"/>
  </sheetPr>
  <dimension ref="A1:AC76"/>
  <sheetViews>
    <sheetView showWhiteSpace="0" view="pageLayout" topLeftCell="A19" zoomScale="110" zoomScaleSheetLayoutView="120" zoomScalePageLayoutView="110" workbookViewId="0">
      <selection activeCell="A50" sqref="A50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АП!AG41</f>
        <v>45473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Лист35">
    <tabColor rgb="FF00FF00"/>
    <pageSetUpPr fitToPage="1"/>
  </sheetPr>
  <dimension ref="A1:AC76"/>
  <sheetViews>
    <sheetView showWhiteSpace="0" view="pageLayout" zoomScale="110" zoomScaleSheetLayoutView="120" zoomScalePageLayoutView="110" workbookViewId="0">
      <selection activeCell="G8" sqref="G8"/>
    </sheetView>
  </sheetViews>
  <sheetFormatPr defaultRowHeight="11.25"/>
  <cols>
    <col min="1" max="1" width="3.7109375" style="27" customWidth="1"/>
    <col min="2" max="2" width="11.7109375" style="27" customWidth="1"/>
    <col min="3" max="4" width="5.85546875" style="27" customWidth="1"/>
    <col min="5" max="5" width="31.42578125" style="27" customWidth="1"/>
    <col min="6" max="6" width="10.85546875" style="27" customWidth="1"/>
    <col min="7" max="7" width="4.5703125" style="27" customWidth="1"/>
    <col min="8" max="8" width="4.28515625" style="27" customWidth="1"/>
    <col min="9" max="10" width="4.7109375" style="27" customWidth="1"/>
    <col min="11" max="11" width="5.140625" style="27" customWidth="1"/>
    <col min="12" max="15" width="5.5703125" style="27" customWidth="1"/>
    <col min="16" max="16" width="4.85546875" style="27" customWidth="1"/>
    <col min="17" max="17" width="4.42578125" style="27" customWidth="1"/>
    <col min="18" max="18" width="5.140625" style="27" customWidth="1"/>
    <col min="19" max="20" width="4.42578125" style="27" customWidth="1"/>
    <col min="21" max="21" width="5.7109375" style="27" customWidth="1"/>
    <col min="22" max="22" width="4.42578125" style="27" customWidth="1"/>
    <col min="23" max="23" width="32.7109375" style="27" customWidth="1"/>
    <col min="24" max="24" width="6.140625" style="27" hidden="1" customWidth="1"/>
    <col min="25" max="25" width="6.5703125" style="27" hidden="1" customWidth="1"/>
    <col min="26" max="26" width="6.85546875" style="27" hidden="1" customWidth="1"/>
    <col min="27" max="27" width="7" style="27" hidden="1" customWidth="1"/>
    <col min="28" max="28" width="9.7109375" style="27" hidden="1" customWidth="1"/>
    <col min="29" max="29" width="13.28515625" style="27" hidden="1" customWidth="1"/>
    <col min="30" max="16384" width="9.140625" style="27"/>
  </cols>
  <sheetData>
    <row r="1" spans="1:29" ht="18.75">
      <c r="A1" s="511" t="s">
        <v>33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1"/>
      <c r="Y1" s="511"/>
    </row>
    <row r="2" spans="1:29" ht="18.75">
      <c r="A2" s="511" t="s">
        <v>52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</row>
    <row r="3" spans="1:29" ht="14.1" customHeight="1">
      <c r="A3" s="512">
        <f>АП!AH41</f>
        <v>45474</v>
      </c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04" t="s">
        <v>1</v>
      </c>
      <c r="E4" s="519"/>
      <c r="F4" s="519"/>
      <c r="G4" s="519"/>
      <c r="H4" s="519"/>
      <c r="I4" s="519"/>
      <c r="J4" s="519"/>
      <c r="K4" s="519"/>
      <c r="L4" s="519"/>
      <c r="M4" s="519"/>
      <c r="N4" s="519"/>
      <c r="O4" s="505"/>
      <c r="P4" s="504" t="s">
        <v>23</v>
      </c>
      <c r="Q4" s="519"/>
      <c r="R4" s="519"/>
      <c r="S4" s="505"/>
      <c r="T4" s="504" t="s">
        <v>22</v>
      </c>
      <c r="U4" s="519"/>
      <c r="V4" s="505"/>
      <c r="W4" s="508" t="s">
        <v>31</v>
      </c>
      <c r="X4" s="525" t="s">
        <v>12</v>
      </c>
      <c r="Y4" s="526"/>
      <c r="Z4" s="526"/>
      <c r="AA4" s="527"/>
      <c r="AB4" s="522" t="s">
        <v>19</v>
      </c>
      <c r="AC4" s="522" t="s">
        <v>20</v>
      </c>
    </row>
    <row r="5" spans="1:29" s="30" customFormat="1" ht="24.75" customHeight="1">
      <c r="A5" s="509"/>
      <c r="B5" s="509"/>
      <c r="C5" s="509"/>
      <c r="D5" s="506" t="s">
        <v>2042</v>
      </c>
      <c r="E5" s="508" t="s">
        <v>2</v>
      </c>
      <c r="F5" s="508" t="s">
        <v>5</v>
      </c>
      <c r="G5" s="504" t="s">
        <v>6</v>
      </c>
      <c r="H5" s="505"/>
      <c r="I5" s="504" t="s">
        <v>25</v>
      </c>
      <c r="J5" s="505"/>
      <c r="K5" s="504" t="s">
        <v>0</v>
      </c>
      <c r="L5" s="505"/>
      <c r="M5" s="506" t="s">
        <v>2052</v>
      </c>
      <c r="N5" s="520" t="s">
        <v>2043</v>
      </c>
      <c r="O5" s="521"/>
      <c r="P5" s="508" t="s">
        <v>17</v>
      </c>
      <c r="Q5" s="506" t="s">
        <v>7</v>
      </c>
      <c r="R5" s="506" t="s">
        <v>8</v>
      </c>
      <c r="S5" s="506" t="s">
        <v>9</v>
      </c>
      <c r="T5" s="506" t="s">
        <v>7</v>
      </c>
      <c r="U5" s="506" t="s">
        <v>8</v>
      </c>
      <c r="V5" s="506" t="s">
        <v>9</v>
      </c>
      <c r="W5" s="509"/>
      <c r="X5" s="514" t="s">
        <v>7</v>
      </c>
      <c r="Y5" s="514" t="s">
        <v>8</v>
      </c>
      <c r="Z5" s="514" t="s">
        <v>9</v>
      </c>
      <c r="AA5" s="514" t="s">
        <v>18</v>
      </c>
      <c r="AB5" s="523"/>
      <c r="AC5" s="523"/>
    </row>
    <row r="6" spans="1:29" s="30" customFormat="1" ht="39" customHeight="1">
      <c r="A6" s="510"/>
      <c r="B6" s="510"/>
      <c r="C6" s="510"/>
      <c r="D6" s="507"/>
      <c r="E6" s="510"/>
      <c r="F6" s="510"/>
      <c r="G6" s="388" t="s">
        <v>10</v>
      </c>
      <c r="H6" s="388" t="s">
        <v>11</v>
      </c>
      <c r="I6" s="388" t="s">
        <v>10</v>
      </c>
      <c r="J6" s="388" t="s">
        <v>11</v>
      </c>
      <c r="K6" s="388" t="s">
        <v>10</v>
      </c>
      <c r="L6" s="388" t="s">
        <v>11</v>
      </c>
      <c r="M6" s="507"/>
      <c r="N6" s="388" t="s">
        <v>2044</v>
      </c>
      <c r="O6" s="388" t="s">
        <v>2045</v>
      </c>
      <c r="P6" s="510"/>
      <c r="Q6" s="507"/>
      <c r="R6" s="507"/>
      <c r="S6" s="507"/>
      <c r="T6" s="507"/>
      <c r="U6" s="507"/>
      <c r="V6" s="507"/>
      <c r="W6" s="510"/>
      <c r="X6" s="515"/>
      <c r="Y6" s="515"/>
      <c r="Z6" s="515"/>
      <c r="AA6" s="515"/>
      <c r="AB6" s="524"/>
      <c r="AC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4</v>
      </c>
      <c r="E7" s="389">
        <v>5</v>
      </c>
      <c r="F7" s="389">
        <v>6</v>
      </c>
      <c r="G7" s="389">
        <v>7</v>
      </c>
      <c r="H7" s="389">
        <v>8</v>
      </c>
      <c r="I7" s="389">
        <v>9</v>
      </c>
      <c r="J7" s="389">
        <v>10</v>
      </c>
      <c r="K7" s="389">
        <v>11</v>
      </c>
      <c r="L7" s="389">
        <v>12</v>
      </c>
      <c r="M7" s="389">
        <v>13</v>
      </c>
      <c r="N7" s="389">
        <v>14</v>
      </c>
      <c r="O7" s="389">
        <v>15</v>
      </c>
      <c r="P7" s="389">
        <v>16</v>
      </c>
      <c r="Q7" s="389">
        <v>17</v>
      </c>
      <c r="R7" s="389">
        <v>18</v>
      </c>
      <c r="S7" s="389">
        <v>19</v>
      </c>
      <c r="T7" s="389">
        <v>20</v>
      </c>
      <c r="U7" s="389">
        <v>21</v>
      </c>
      <c r="V7" s="389">
        <v>22</v>
      </c>
      <c r="W7" s="389">
        <v>23</v>
      </c>
      <c r="X7" s="387">
        <v>21</v>
      </c>
      <c r="Y7" s="389">
        <v>22</v>
      </c>
      <c r="Z7" s="389">
        <v>23</v>
      </c>
      <c r="AA7" s="389">
        <v>24</v>
      </c>
      <c r="AB7" s="389">
        <v>25</v>
      </c>
      <c r="AC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5" t="str">
        <f>IF(P8="","",INDEX(ВВОД!$R:$R,MATCH(DAY($A$3),ВВОД!B:B,0)))</f>
        <v/>
      </c>
      <c r="E8" s="325" t="str">
        <f>IF(P8="","",INDEX(ВВОД!$S:$S,MATCH(DAY($A$3),ВВОД!B:B,0)))</f>
        <v/>
      </c>
      <c r="F8" s="325" t="str">
        <f>IFERROR(IF(P8="","",INDEX(ВВОД!$T:$T,MATCH(DAY($A$3),ВВОД!B:B,0))),"")</f>
        <v/>
      </c>
      <c r="G8" s="326" t="str">
        <f>IF(P8="","",INDEX(ВВОД!$O:$O,MATCH(DAY($A$3),ВВОД!B:B,0)))</f>
        <v/>
      </c>
      <c r="H8" s="326"/>
      <c r="I8" s="325" t="str">
        <f>IF(P8="","",INDEX(ВВОД!$P:$P,MATCH(DAY($A$3),ВВОД!B:B,0))+INDEX(ВВОД!$Q:$Q,MATCH(DAY($A$3),ВВОД!B:B,0)))</f>
        <v/>
      </c>
      <c r="J8" s="325"/>
      <c r="K8" s="325"/>
      <c r="L8" s="325"/>
      <c r="M8" s="325"/>
      <c r="N8" s="325"/>
      <c r="O8" s="325"/>
      <c r="P8" s="14" t="str">
        <f>IF(W8="   ",IF(INDEX(АП!$D$1:$AH$40,MATCH(C8,АП!$C$1:$C$40,0),DAY($A$3))=0,"",INDEX(АП!$D$1:$AH$40,MATCH(C8,АП!$C$1:$C$40,0),DAY($A$3))),"")</f>
        <v/>
      </c>
      <c r="Q8" s="126">
        <v>0.33333333333333331</v>
      </c>
      <c r="R8" s="127">
        <v>0.66666666666666663</v>
      </c>
      <c r="S8" s="128">
        <f t="shared" ref="S8:S47" si="0">R8-Q8</f>
        <v>0.33333333333333331</v>
      </c>
      <c r="T8" s="126">
        <v>0.33333333333333331</v>
      </c>
      <c r="U8" s="129">
        <v>0.54166666666666663</v>
      </c>
      <c r="V8" s="128">
        <f t="shared" ref="V8:V47" si="1">U8-T8</f>
        <v>0.20833333333333331</v>
      </c>
      <c r="W8" s="130" t="str">
        <f>IFERROR(GetDescription(INDEX(АП!$D$1:$AH$40,MATCH(C8,АП!$C$1:$C$40,0),DAY($A$3)),P8,$A$3),"")</f>
        <v xml:space="preserve">   </v>
      </c>
      <c r="X8" s="32"/>
      <c r="Y8" s="3"/>
      <c r="Z8" s="3"/>
      <c r="AA8" s="3"/>
      <c r="AB8" s="3"/>
      <c r="AC8" s="3"/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5" t="str">
        <f>IF(P9="","",INDEX(ВВОД!$R:$R,MATCH(DAY($A$3),ВВОД!C:C,0)))</f>
        <v/>
      </c>
      <c r="E9" s="325" t="str">
        <f>IF(P9="","",INDEX(ВВОД!$S:$S,MATCH(DAY($A$3),ВВОД!C:C,0)))</f>
        <v/>
      </c>
      <c r="F9" s="325" t="str">
        <f>IFERROR(IF(P9="","",INDEX(ВВОД!$T:$T,MATCH(DAY($A$3),ВВОД!C:C,0))),"")</f>
        <v/>
      </c>
      <c r="G9" s="326" t="str">
        <f>IF(P9="","",INDEX(ВВОД!$O:$O,MATCH(DAY($A$3),ВВОД!C:C,0)))</f>
        <v/>
      </c>
      <c r="H9" s="326"/>
      <c r="I9" s="325" t="str">
        <f>IF(P9="","",INDEX(ВВОД!$P:$P,MATCH(DAY($A$3),ВВОД!C:C,0))+INDEX(ВВОД!$Q:$Q,MATCH(DAY($A$3),ВВОД!C:C,0)))</f>
        <v/>
      </c>
      <c r="J9" s="325"/>
      <c r="K9" s="325"/>
      <c r="L9" s="325"/>
      <c r="M9" s="325"/>
      <c r="N9" s="325"/>
      <c r="O9" s="325"/>
      <c r="P9" s="14" t="str">
        <f>IF(W9="   ",IF(INDEX(АП!$D$1:$AH$40,MATCH(C9,АП!$C$1:$C$40,0),DAY($A$3))=0,"",INDEX(АП!$D$1:$AH$40,MATCH(C9,АП!$C$1:$C$40,0),DAY($A$3))),"")</f>
        <v/>
      </c>
      <c r="Q9" s="126">
        <v>0.33333333333333331</v>
      </c>
      <c r="R9" s="127">
        <v>0.66666666666666663</v>
      </c>
      <c r="S9" s="128">
        <f t="shared" si="0"/>
        <v>0.33333333333333331</v>
      </c>
      <c r="T9" s="126">
        <v>0.33333333333333331</v>
      </c>
      <c r="U9" s="129">
        <v>0.54166666666666663</v>
      </c>
      <c r="V9" s="128">
        <f t="shared" si="1"/>
        <v>0.20833333333333331</v>
      </c>
      <c r="W9" s="130" t="str">
        <f>IFERROR(GetDescription(INDEX(АП!$D$1:$AH$40,MATCH(C9,АП!$C$1:$C$40,0),DAY($A$3)),P9,$A$3),"")</f>
        <v xml:space="preserve">   </v>
      </c>
      <c r="X9" s="32"/>
      <c r="Y9" s="3"/>
      <c r="Z9" s="3"/>
      <c r="AA9" s="3"/>
      <c r="AB9" s="3"/>
      <c r="AC9" s="3"/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5" t="str">
        <f>IF(P10="","",INDEX(ВВОД!$R:$R,MATCH(DAY($A$3),ВВОД!D:D,0)))</f>
        <v/>
      </c>
      <c r="E10" s="325" t="str">
        <f>IF(P10="","",INDEX(ВВОД!$S:$S,MATCH(DAY($A$3),ВВОД!D:D,0)))</f>
        <v/>
      </c>
      <c r="F10" s="325" t="str">
        <f>IFERROR(IF(P10="","",INDEX(ВВОД!$T:$T,MATCH(DAY($A$3),ВВОД!D:D,0))),"")</f>
        <v/>
      </c>
      <c r="G10" s="326" t="str">
        <f>IF(P10="","",INDEX(ВВОД!$O:$O,MATCH(DAY($A$3),ВВОД!D:D,0)))</f>
        <v/>
      </c>
      <c r="H10" s="326"/>
      <c r="I10" s="325" t="str">
        <f>IF(P10="","",INDEX(ВВОД!$P:$P,MATCH(DAY($A$3),ВВОД!D:D,0))+INDEX(ВВОД!$Q:$Q,MATCH(DAY($A$3),ВВОД!D:D,0)))</f>
        <v/>
      </c>
      <c r="J10" s="325"/>
      <c r="K10" s="325"/>
      <c r="L10" s="325"/>
      <c r="M10" s="325"/>
      <c r="N10" s="325"/>
      <c r="O10" s="325"/>
      <c r="P10" s="14" t="str">
        <f>IF(W10="   ",IF(INDEX(АП!$D$1:$AH$40,MATCH(C10,АП!$C$1:$C$40,0),DAY($A$3))=0,"",INDEX(АП!$D$1:$AH$40,MATCH(C10,АП!$C$1:$C$40,0),DAY($A$3))),"")</f>
        <v/>
      </c>
      <c r="Q10" s="126">
        <v>0.33333333333333331</v>
      </c>
      <c r="R10" s="127">
        <v>0.66666666666666663</v>
      </c>
      <c r="S10" s="128">
        <f t="shared" si="0"/>
        <v>0.33333333333333331</v>
      </c>
      <c r="T10" s="126">
        <v>0.33333333333333331</v>
      </c>
      <c r="U10" s="129">
        <v>0.54166666666666663</v>
      </c>
      <c r="V10" s="128">
        <f t="shared" si="1"/>
        <v>0.20833333333333331</v>
      </c>
      <c r="W10" s="130" t="str">
        <f>IFERROR(GetDescription(INDEX(АП!$D$1:$AH$40,MATCH(C10,АП!$C$1:$C$40,0),DAY($A$3)),P10,$A$3),"")</f>
        <v xml:space="preserve">   </v>
      </c>
      <c r="X10" s="32"/>
      <c r="Y10" s="3"/>
      <c r="Z10" s="3"/>
      <c r="AA10" s="3"/>
      <c r="AB10" s="3"/>
      <c r="AC10" s="3"/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5" t="str">
        <f>IF(P11="","",INDEX(ВВОД!$R:$R,MATCH(DAY($A$3),ВВОД!E:E,0)))</f>
        <v/>
      </c>
      <c r="E11" s="325" t="str">
        <f>IF(P11="","",INDEX(ВВОД!$S:$S,MATCH(DAY($A$3),ВВОД!E:E,0)))</f>
        <v/>
      </c>
      <c r="F11" s="325" t="str">
        <f>IFERROR(IF(P11="","",INDEX(ВВОД!$T:$T,MATCH(DAY($A$3),ВВОД!E:E,0))),"")</f>
        <v/>
      </c>
      <c r="G11" s="326" t="str">
        <f>IF(P11="","",INDEX(ВВОД!$O:$O,MATCH(DAY($A$3),ВВОД!E:E,0)))</f>
        <v/>
      </c>
      <c r="H11" s="326"/>
      <c r="I11" s="325" t="str">
        <f>IF(P11="","",INDEX(ВВОД!$P:$P,MATCH(DAY($A$3),ВВОД!E:E,0))+INDEX(ВВОД!$Q:$Q,MATCH(DAY($A$3),ВВОД!E:E,0)))</f>
        <v/>
      </c>
      <c r="J11" s="325"/>
      <c r="K11" s="325"/>
      <c r="L11" s="325"/>
      <c r="M11" s="325"/>
      <c r="N11" s="325"/>
      <c r="O11" s="325"/>
      <c r="P11" s="14" t="str">
        <f>IF(W11="   ",IF(INDEX(АП!$D$1:$AH$40,MATCH(C11,АП!$C$1:$C$40,0),DAY($A$3))=0,"",INDEX(АП!$D$1:$AH$40,MATCH(C11,АП!$C$1:$C$40,0),DAY($A$3))),"")</f>
        <v/>
      </c>
      <c r="Q11" s="126">
        <v>0.33333333333333331</v>
      </c>
      <c r="R11" s="127">
        <v>0.66666666666666663</v>
      </c>
      <c r="S11" s="128">
        <f t="shared" si="0"/>
        <v>0.33333333333333331</v>
      </c>
      <c r="T11" s="126">
        <v>0.33333333333333331</v>
      </c>
      <c r="U11" s="129">
        <v>0.54166666666666663</v>
      </c>
      <c r="V11" s="128">
        <f t="shared" si="1"/>
        <v>0.20833333333333331</v>
      </c>
      <c r="W11" s="130" t="str">
        <f>IFERROR(GetDescription(INDEX(АП!$D$1:$AH$40,MATCH(C11,АП!$C$1:$C$40,0),DAY($A$3)),P11,$A$3),"")</f>
        <v xml:space="preserve">   </v>
      </c>
      <c r="X11" s="32"/>
      <c r="Y11" s="3"/>
      <c r="Z11" s="3"/>
      <c r="AA11" s="3"/>
      <c r="AB11" s="3"/>
      <c r="AC11" s="3"/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5" t="str">
        <f>IF(P12="","",INDEX(ВВОД!$R:$R,MATCH(DAY($A$3),ВВОД!F:F,0)))</f>
        <v/>
      </c>
      <c r="E12" s="325" t="str">
        <f>IF(P12="","",INDEX(ВВОД!$S:$S,MATCH(DAY($A$3),ВВОД!F:F,0)))</f>
        <v/>
      </c>
      <c r="F12" s="325" t="str">
        <f>IFERROR(IF(P12="","",INDEX(ВВОД!$T:$T,MATCH(DAY($A$3),ВВОД!F:F,0))),"")</f>
        <v/>
      </c>
      <c r="G12" s="326" t="str">
        <f>IF(P12="","",INDEX(ВВОД!$O:$O,MATCH(DAY($A$3),ВВОД!F:F,0)))</f>
        <v/>
      </c>
      <c r="H12" s="326"/>
      <c r="I12" s="325" t="str">
        <f>IF(P12="","",INDEX(ВВОД!$P:$P,MATCH(DAY($A$3),ВВОД!F:F,0))+INDEX(ВВОД!$Q:$Q,MATCH(DAY($A$3),ВВОД!F:F,0)))</f>
        <v/>
      </c>
      <c r="J12" s="325"/>
      <c r="K12" s="325"/>
      <c r="L12" s="325"/>
      <c r="M12" s="325"/>
      <c r="N12" s="325"/>
      <c r="O12" s="325"/>
      <c r="P12" s="14" t="str">
        <f>IF(W12="   ",IF(INDEX(АП!$D$1:$AH$40,MATCH(C12,АП!$C$1:$C$40,0),DAY($A$3))=0,"",INDEX(АП!$D$1:$AH$40,MATCH(C12,АП!$C$1:$C$40,0),DAY($A$3))),"")</f>
        <v/>
      </c>
      <c r="Q12" s="126">
        <v>0.33333333333333331</v>
      </c>
      <c r="R12" s="127">
        <v>0.66666666666666663</v>
      </c>
      <c r="S12" s="128">
        <f t="shared" si="0"/>
        <v>0.33333333333333331</v>
      </c>
      <c r="T12" s="126">
        <v>0.33333333333333331</v>
      </c>
      <c r="U12" s="129">
        <v>0.54166666666666663</v>
      </c>
      <c r="V12" s="128">
        <f t="shared" si="1"/>
        <v>0.20833333333333331</v>
      </c>
      <c r="W12" s="130" t="str">
        <f>IFERROR(GetDescription(INDEX(АП!$D$1:$AH$40,MATCH(C12,АП!$C$1:$C$40,0),DAY($A$3)),P12,$A$3),"")</f>
        <v xml:space="preserve">   </v>
      </c>
      <c r="X12" s="34"/>
      <c r="Y12" s="35"/>
      <c r="Z12" s="35"/>
      <c r="AA12" s="35"/>
      <c r="AB12" s="35"/>
      <c r="AC12" s="35"/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5" t="str">
        <f>IF(P13="","",INDEX(ВВОД!$R:$R,MATCH(DAY($A$3),ВВОД!G:G,0)))</f>
        <v/>
      </c>
      <c r="E13" s="325" t="str">
        <f>IF(P13="","",INDEX(ВВОД!$S:$S,MATCH(DAY($A$3),ВВОД!G:G,0)))</f>
        <v/>
      </c>
      <c r="F13" s="325" t="str">
        <f>IFERROR(IF(P13="","",INDEX(ВВОД!$T:$T,MATCH(DAY($A$3),ВВОД!G:G,0))),"")</f>
        <v/>
      </c>
      <c r="G13" s="326" t="str">
        <f>IF(P13="","",INDEX(ВВОД!$O:$O,MATCH(DAY($A$3),ВВОД!G:G,0)))</f>
        <v/>
      </c>
      <c r="H13" s="326"/>
      <c r="I13" s="325" t="str">
        <f>IF(P13="","",INDEX(ВВОД!$P:$P,MATCH(DAY($A$3),ВВОД!G:G,0))+INDEX(ВВОД!$Q:$Q,MATCH(DAY($A$3),ВВОД!G:G,0)))</f>
        <v/>
      </c>
      <c r="J13" s="325"/>
      <c r="K13" s="325"/>
      <c r="L13" s="325"/>
      <c r="M13" s="325"/>
      <c r="N13" s="325"/>
      <c r="O13" s="325"/>
      <c r="P13" s="14" t="str">
        <f>IF(W13="   ",IF(INDEX(АП!$D$1:$AH$40,MATCH(C13,АП!$C$1:$C$40,0),DAY($A$3))=0,"",INDEX(АП!$D$1:$AH$40,MATCH(C13,АП!$C$1:$C$40,0),DAY($A$3))),"")</f>
        <v/>
      </c>
      <c r="Q13" s="126">
        <v>0.33333333333333331</v>
      </c>
      <c r="R13" s="127">
        <v>0.66666666666666663</v>
      </c>
      <c r="S13" s="128">
        <f t="shared" si="0"/>
        <v>0.33333333333333331</v>
      </c>
      <c r="T13" s="126">
        <v>0.33333333333333331</v>
      </c>
      <c r="U13" s="129">
        <v>0.54166666666666663</v>
      </c>
      <c r="V13" s="128">
        <f t="shared" si="1"/>
        <v>0.20833333333333331</v>
      </c>
      <c r="W13" s="130" t="str">
        <f>IFERROR(GetDescription(INDEX(АП!$D$1:$AH$40,MATCH(C13,АП!$C$1:$C$40,0),DAY($A$3)),P13,$A$3),"")</f>
        <v xml:space="preserve">   </v>
      </c>
      <c r="X13" s="32"/>
      <c r="Y13" s="3"/>
      <c r="Z13" s="3"/>
      <c r="AA13" s="3"/>
      <c r="AB13" s="3"/>
      <c r="AC13" s="3"/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5" t="str">
        <f>IF(P14="","",INDEX(ВВОД!$R:$R,MATCH(DAY($A$3),ВВОД!H:H,0)))</f>
        <v/>
      </c>
      <c r="E14" s="325" t="str">
        <f>IF(P14="","",INDEX(ВВОД!$S:$S,MATCH(DAY($A$3),ВВОД!H:H,0)))</f>
        <v/>
      </c>
      <c r="F14" s="325" t="str">
        <f>IFERROR(IF(P14="","",INDEX(ВВОД!$T:$T,MATCH(DAY($A$3),ВВОД!H:H,0))),"")</f>
        <v/>
      </c>
      <c r="G14" s="326" t="str">
        <f>IF(P14="","",INDEX(ВВОД!$O:$O,MATCH(DAY($A$3),ВВОД!H:H,0)))</f>
        <v/>
      </c>
      <c r="H14" s="326"/>
      <c r="I14" s="325" t="str">
        <f>IF(P14="","",INDEX(ВВОД!$P:$P,MATCH(DAY($A$3),ВВОД!H:H,0))+INDEX(ВВОД!$Q:$Q,MATCH(DAY($A$3),ВВОД!H:H,0)))</f>
        <v/>
      </c>
      <c r="J14" s="325"/>
      <c r="K14" s="325"/>
      <c r="L14" s="325"/>
      <c r="M14" s="325"/>
      <c r="N14" s="325"/>
      <c r="O14" s="325"/>
      <c r="P14" s="49" t="str">
        <f>IF(W14="   ",IF(INDEX(АП!$D$1:$AH$40,MATCH(C14,АП!$C$1:$C$40,0),DAY($A$3))=0,"",INDEX(АП!$D$1:$AH$40,MATCH(C14,АП!$C$1:$C$40,0),DAY($A$3))),"")</f>
        <v/>
      </c>
      <c r="Q14" s="126">
        <v>0.33333333333333331</v>
      </c>
      <c r="R14" s="127">
        <v>0.66666666666666663</v>
      </c>
      <c r="S14" s="128">
        <f t="shared" si="0"/>
        <v>0.33333333333333331</v>
      </c>
      <c r="T14" s="126">
        <v>0.33333333333333331</v>
      </c>
      <c r="U14" s="129">
        <v>0.54166666666666663</v>
      </c>
      <c r="V14" s="128">
        <f t="shared" si="1"/>
        <v>0.20833333333333331</v>
      </c>
      <c r="W14" s="130" t="str">
        <f>IFERROR(GetDescription(INDEX(АП!$D$1:$AH$40,MATCH(C14,АП!$C$1:$C$40,0),DAY($A$3)),P14,$A$3),"")</f>
        <v xml:space="preserve">   </v>
      </c>
      <c r="X14" s="32"/>
      <c r="Y14" s="3"/>
      <c r="Z14" s="3"/>
      <c r="AA14" s="3"/>
      <c r="AB14" s="3"/>
      <c r="AC14" s="3"/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5" t="str">
        <f>IF(P15="","",INDEX(ВВОД!$R:$R,MATCH(DAY($A$3),ВВОД!I:I,0)))</f>
        <v/>
      </c>
      <c r="E15" s="325" t="str">
        <f>IF(P15="","",INDEX(ВВОД!$S:$S,MATCH(DAY($A$3),ВВОД!I:I,0)))</f>
        <v/>
      </c>
      <c r="F15" s="325" t="str">
        <f>IFERROR(IF(P15="","",INDEX(ВВОД!$T:$T,MATCH(DAY($A$3),ВВОД!I:I,0))),"")</f>
        <v/>
      </c>
      <c r="G15" s="326" t="str">
        <f>IF(P15="","",INDEX(ВВОД!$O:$O,MATCH(DAY($A$3),ВВОД!I:I,0)))</f>
        <v/>
      </c>
      <c r="H15" s="326"/>
      <c r="I15" s="325" t="str">
        <f>IF(P15="","",INDEX(ВВОД!$P:$P,MATCH(DAY($A$3),ВВОД!I:I,0))+INDEX(ВВОД!$Q:$Q,MATCH(DAY($A$3),ВВОД!I:I,0)))</f>
        <v/>
      </c>
      <c r="J15" s="325"/>
      <c r="K15" s="325"/>
      <c r="L15" s="325"/>
      <c r="M15" s="325"/>
      <c r="N15" s="325"/>
      <c r="O15" s="325"/>
      <c r="P15" s="14" t="str">
        <f>IF(W15="   ",IF(INDEX(АП!$D$1:$AH$40,MATCH(C15,АП!$C$1:$C$40,0),DAY($A$3))=0,"",INDEX(АП!$D$1:$AH$40,MATCH(C15,АП!$C$1:$C$40,0),DAY($A$3))),"")</f>
        <v/>
      </c>
      <c r="Q15" s="126">
        <v>0.33333333333333331</v>
      </c>
      <c r="R15" s="127">
        <v>0.66666666666666663</v>
      </c>
      <c r="S15" s="128">
        <f t="shared" si="0"/>
        <v>0.33333333333333331</v>
      </c>
      <c r="T15" s="126">
        <v>0.33333333333333331</v>
      </c>
      <c r="U15" s="129">
        <v>0.54166666666666663</v>
      </c>
      <c r="V15" s="128">
        <f t="shared" si="1"/>
        <v>0.20833333333333331</v>
      </c>
      <c r="W15" s="130" t="str">
        <f>IFERROR(GetDescription(INDEX(АП!$D$1:$AH$40,MATCH(C15,АП!$C$1:$C$40,0),DAY($A$3)),P15,$A$3),"")</f>
        <v xml:space="preserve">   </v>
      </c>
      <c r="X15" s="32"/>
      <c r="Y15" s="3"/>
      <c r="Z15" s="3"/>
      <c r="AA15" s="3"/>
      <c r="AB15" s="3"/>
      <c r="AC15" s="3"/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5"/>
      <c r="E16" s="325"/>
      <c r="F16" s="325"/>
      <c r="G16" s="326"/>
      <c r="H16" s="326"/>
      <c r="I16" s="325"/>
      <c r="J16" s="325"/>
      <c r="K16" s="325"/>
      <c r="L16" s="325"/>
      <c r="M16" s="325"/>
      <c r="N16" s="325"/>
      <c r="O16" s="325"/>
      <c r="P16" s="14" t="str">
        <f>IF(W16="   ",IF(INDEX(АП!$D$1:$AH$40,MATCH(C16,АП!$C$1:$C$40,0),DAY($A$3))=0,"",INDEX(АП!$D$1:$AH$40,MATCH(C16,АП!$C$1:$C$40,0),DAY($A$3))),"")</f>
        <v/>
      </c>
      <c r="Q16" s="126">
        <v>0.33333333333333331</v>
      </c>
      <c r="R16" s="127">
        <v>0.66666666666666663</v>
      </c>
      <c r="S16" s="128">
        <f t="shared" si="0"/>
        <v>0.33333333333333331</v>
      </c>
      <c r="T16" s="126">
        <v>0.33333333333333331</v>
      </c>
      <c r="U16" s="129">
        <v>0.54166666666666663</v>
      </c>
      <c r="V16" s="128">
        <f t="shared" si="1"/>
        <v>0.20833333333333331</v>
      </c>
      <c r="W16" s="130" t="str">
        <f>IFERROR(GetDescription(INDEX(АП!$D$1:$AH$40,MATCH(C16,АП!$C$1:$C$40,0),DAY($A$3)),P16,$A$3),"")</f>
        <v xml:space="preserve">   </v>
      </c>
      <c r="X16" s="32"/>
      <c r="Y16" s="3"/>
      <c r="Z16" s="3"/>
      <c r="AA16" s="3"/>
      <c r="AB16" s="3"/>
      <c r="AC16" s="3"/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5"/>
      <c r="E17" s="325"/>
      <c r="F17" s="325"/>
      <c r="G17" s="326"/>
      <c r="H17" s="326"/>
      <c r="I17" s="325"/>
      <c r="J17" s="325"/>
      <c r="K17" s="325"/>
      <c r="L17" s="325"/>
      <c r="M17" s="325"/>
      <c r="N17" s="325"/>
      <c r="O17" s="325"/>
      <c r="P17" s="14" t="str">
        <f>IF(W17="   ",IF(INDEX(АП!$D$1:$AH$40,MATCH(C17,АП!$C$1:$C$40,0),DAY($A$3))=0,"",INDEX(АП!$D$1:$AH$40,MATCH(C17,АП!$C$1:$C$40,0),DAY($A$3))),"")</f>
        <v/>
      </c>
      <c r="Q17" s="126">
        <v>0.33333333333333331</v>
      </c>
      <c r="R17" s="127">
        <v>0.66666666666666663</v>
      </c>
      <c r="S17" s="128">
        <f t="shared" si="0"/>
        <v>0.33333333333333331</v>
      </c>
      <c r="T17" s="126">
        <v>0.33333333333333331</v>
      </c>
      <c r="U17" s="129">
        <v>0.54166666666666663</v>
      </c>
      <c r="V17" s="128">
        <f t="shared" si="1"/>
        <v>0.20833333333333331</v>
      </c>
      <c r="W17" s="130" t="str">
        <f>IFERROR(GetDescription(INDEX(АП!$D$1:$AH$40,MATCH(C17,АП!$C$1:$C$40,0),DAY($A$3)),P17,$A$3),"")</f>
        <v xml:space="preserve">   </v>
      </c>
      <c r="X17" s="34"/>
      <c r="Y17" s="35"/>
      <c r="Z17" s="35"/>
      <c r="AA17" s="35"/>
      <c r="AB17" s="35"/>
      <c r="AC17" s="35"/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5"/>
      <c r="E18" s="325"/>
      <c r="F18" s="325"/>
      <c r="G18" s="326"/>
      <c r="H18" s="326"/>
      <c r="I18" s="325"/>
      <c r="J18" s="325"/>
      <c r="K18" s="325"/>
      <c r="L18" s="325"/>
      <c r="M18" s="325"/>
      <c r="N18" s="325"/>
      <c r="O18" s="325"/>
      <c r="P18" s="14" t="str">
        <f>IF(W18="   ",IF(INDEX(АП!$D$1:$AH$40,MATCH(C18,АП!$C$1:$C$40,0),DAY($A$3))=0,"",INDEX(АП!$D$1:$AH$40,MATCH(C18,АП!$C$1:$C$40,0),DAY($A$3))),"")</f>
        <v/>
      </c>
      <c r="Q18" s="126">
        <v>0.33333333333333331</v>
      </c>
      <c r="R18" s="127">
        <v>0.66666666666666663</v>
      </c>
      <c r="S18" s="128">
        <f t="shared" si="0"/>
        <v>0.33333333333333331</v>
      </c>
      <c r="T18" s="126">
        <v>0.33333333333333331</v>
      </c>
      <c r="U18" s="129">
        <v>0.54166666666666663</v>
      </c>
      <c r="V18" s="128">
        <f t="shared" si="1"/>
        <v>0.20833333333333331</v>
      </c>
      <c r="W18" s="130" t="str">
        <f>IFERROR(GetDescription(INDEX(АП!$D$1:$AH$40,MATCH(C18,АП!$C$1:$C$40,0),DAY($A$3)),P18,$A$3),"")</f>
        <v xml:space="preserve">   </v>
      </c>
      <c r="X18" s="34"/>
      <c r="Y18" s="35"/>
      <c r="Z18" s="35"/>
      <c r="AA18" s="35"/>
      <c r="AB18" s="35"/>
      <c r="AC18" s="35"/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5"/>
      <c r="E19" s="325"/>
      <c r="F19" s="325"/>
      <c r="G19" s="326"/>
      <c r="H19" s="326"/>
      <c r="I19" s="325"/>
      <c r="J19" s="325"/>
      <c r="K19" s="325"/>
      <c r="L19" s="325"/>
      <c r="M19" s="325"/>
      <c r="N19" s="325"/>
      <c r="O19" s="325"/>
      <c r="P19" s="14" t="str">
        <f>IF(W19="   ",IF(INDEX(АП!$D$1:$AH$40,MATCH(C19,АП!$C$1:$C$40,0),DAY($A$3))=0,"",INDEX(АП!$D$1:$AH$40,MATCH(C19,АП!$C$1:$C$40,0),DAY($A$3))),"")</f>
        <v/>
      </c>
      <c r="Q19" s="126">
        <v>0.33333333333333331</v>
      </c>
      <c r="R19" s="127">
        <v>0.66666666666666663</v>
      </c>
      <c r="S19" s="128">
        <f t="shared" si="0"/>
        <v>0.33333333333333331</v>
      </c>
      <c r="T19" s="126">
        <v>0.33333333333333331</v>
      </c>
      <c r="U19" s="129">
        <v>0.54166666666666663</v>
      </c>
      <c r="V19" s="128">
        <f t="shared" si="1"/>
        <v>0.20833333333333331</v>
      </c>
      <c r="W19" s="130" t="str">
        <f>IFERROR(GetDescription(INDEX(АП!$D$1:$AH$40,MATCH(C19,АП!$C$1:$C$40,0),DAY($A$3)),P19,$A$3),"")</f>
        <v xml:space="preserve">   </v>
      </c>
      <c r="X19" s="37"/>
      <c r="Y19" s="35"/>
      <c r="Z19" s="35"/>
      <c r="AA19" s="35"/>
      <c r="AB19" s="35"/>
      <c r="AC19" s="35"/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5"/>
      <c r="E20" s="325"/>
      <c r="F20" s="325"/>
      <c r="G20" s="326"/>
      <c r="H20" s="326"/>
      <c r="I20" s="325"/>
      <c r="J20" s="325"/>
      <c r="K20" s="325"/>
      <c r="L20" s="325"/>
      <c r="M20" s="325"/>
      <c r="N20" s="325"/>
      <c r="O20" s="325"/>
      <c r="P20" s="14" t="str">
        <f>IF(W20="   ",IF(INDEX(АП!$D$1:$AH$40,MATCH(C20,АП!$C$1:$C$40,0),DAY($A$3))=0,"",INDEX(АП!$D$1:$AH$40,MATCH(C20,АП!$C$1:$C$40,0),DAY($A$3))),"")</f>
        <v/>
      </c>
      <c r="Q20" s="126">
        <v>0.33333333333333331</v>
      </c>
      <c r="R20" s="127">
        <v>0.66666666666666663</v>
      </c>
      <c r="S20" s="128">
        <f t="shared" si="0"/>
        <v>0.33333333333333331</v>
      </c>
      <c r="T20" s="126">
        <v>0.33333333333333331</v>
      </c>
      <c r="U20" s="129">
        <v>0.54166666666666663</v>
      </c>
      <c r="V20" s="128">
        <f t="shared" si="1"/>
        <v>0.20833333333333331</v>
      </c>
      <c r="W20" s="130" t="str">
        <f>IFERROR(GetDescription(INDEX(АП!$D$1:$AH$40,MATCH(C20,АП!$C$1:$C$40,0),DAY($A$3)),P20,$A$3),"")</f>
        <v/>
      </c>
      <c r="X20" s="34"/>
      <c r="Y20" s="35"/>
      <c r="Z20" s="35"/>
      <c r="AA20" s="35"/>
      <c r="AB20" s="35"/>
      <c r="AC20" s="35"/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5"/>
      <c r="E21" s="325"/>
      <c r="F21" s="325"/>
      <c r="G21" s="326"/>
      <c r="H21" s="326"/>
      <c r="I21" s="325"/>
      <c r="J21" s="325"/>
      <c r="K21" s="325"/>
      <c r="L21" s="325"/>
      <c r="M21" s="325"/>
      <c r="N21" s="325"/>
      <c r="O21" s="325"/>
      <c r="P21" s="14" t="str">
        <f>IF(W21="   ",IF(INDEX(АП!$D$1:$AH$40,MATCH(C21,АП!$C$1:$C$40,0),DAY($A$3))=0,"",INDEX(АП!$D$1:$AH$40,MATCH(C21,АП!$C$1:$C$40,0),DAY($A$3))),"")</f>
        <v/>
      </c>
      <c r="Q21" s="126">
        <v>0.33333333333333331</v>
      </c>
      <c r="R21" s="127">
        <v>0.66666666666666663</v>
      </c>
      <c r="S21" s="128">
        <f t="shared" si="0"/>
        <v>0.33333333333333331</v>
      </c>
      <c r="T21" s="126">
        <v>0.33333333333333331</v>
      </c>
      <c r="U21" s="129">
        <v>0.54166666666666663</v>
      </c>
      <c r="V21" s="128">
        <f t="shared" si="1"/>
        <v>0.20833333333333331</v>
      </c>
      <c r="W21" s="130" t="str">
        <f>IFERROR(GetDescription(INDEX(АП!$D$1:$AH$40,MATCH(C21,АП!$C$1:$C$40,0),DAY($A$3)),P21,$A$3),"")</f>
        <v/>
      </c>
      <c r="X21" s="34"/>
      <c r="Y21" s="35"/>
      <c r="Z21" s="35"/>
      <c r="AA21" s="35"/>
      <c r="AB21" s="35"/>
      <c r="AC21" s="35"/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5"/>
      <c r="E22" s="325"/>
      <c r="F22" s="325"/>
      <c r="G22" s="326"/>
      <c r="H22" s="326"/>
      <c r="I22" s="325"/>
      <c r="J22" s="325"/>
      <c r="K22" s="325"/>
      <c r="L22" s="325"/>
      <c r="M22" s="325"/>
      <c r="N22" s="325"/>
      <c r="O22" s="325"/>
      <c r="P22" s="14" t="str">
        <f>IF(W22="   ",IF(INDEX(АП!$D$1:$AH$40,MATCH(C22,АП!$C$1:$C$40,0),DAY($A$3))=0,"",INDEX(АП!$D$1:$AH$40,MATCH(C22,АП!$C$1:$C$40,0),DAY($A$3))),"")</f>
        <v/>
      </c>
      <c r="Q22" s="126">
        <v>0.33333333333333331</v>
      </c>
      <c r="R22" s="127">
        <v>0.66666666666666663</v>
      </c>
      <c r="S22" s="128">
        <f t="shared" si="0"/>
        <v>0.33333333333333331</v>
      </c>
      <c r="T22" s="126">
        <v>0.33333333333333331</v>
      </c>
      <c r="U22" s="129">
        <v>0.54166666666666663</v>
      </c>
      <c r="V22" s="128">
        <f t="shared" si="1"/>
        <v>0.20833333333333331</v>
      </c>
      <c r="W22" s="130" t="str">
        <f>IFERROR(GetDescription(INDEX(АП!$D$1:$AH$40,MATCH(C22,АП!$C$1:$C$40,0),DAY($A$3)),P22,$A$3),"")</f>
        <v/>
      </c>
      <c r="X22" s="34"/>
      <c r="Y22" s="35"/>
      <c r="Z22" s="35"/>
      <c r="AA22" s="35"/>
      <c r="AB22" s="35"/>
      <c r="AC22" s="35"/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5"/>
      <c r="E23" s="327"/>
      <c r="F23" s="325"/>
      <c r="G23" s="326"/>
      <c r="H23" s="326"/>
      <c r="I23" s="325"/>
      <c r="J23" s="325"/>
      <c r="K23" s="325"/>
      <c r="L23" s="325"/>
      <c r="M23" s="325"/>
      <c r="N23" s="325"/>
      <c r="O23" s="325"/>
      <c r="P23" s="14" t="str">
        <f>IF(W23="   ",IF(INDEX(АП!$D$1:$AH$40,MATCH(C23,АП!$C$1:$C$40,0),DAY($A$3))=0,"",INDEX(АП!$D$1:$AH$40,MATCH(C23,АП!$C$1:$C$40,0),DAY($A$3))),"")</f>
        <v/>
      </c>
      <c r="Q23" s="126">
        <v>0.33333333333333331</v>
      </c>
      <c r="R23" s="127">
        <v>0.66666666666666663</v>
      </c>
      <c r="S23" s="128">
        <f t="shared" si="0"/>
        <v>0.33333333333333331</v>
      </c>
      <c r="T23" s="126">
        <v>0.33333333333333331</v>
      </c>
      <c r="U23" s="129">
        <v>0.54166666666666663</v>
      </c>
      <c r="V23" s="128">
        <f t="shared" si="1"/>
        <v>0.20833333333333331</v>
      </c>
      <c r="W23" s="130" t="str">
        <f>IFERROR(GetDescription(INDEX(АП!$D$1:$AH$40,MATCH(C23,АП!$C$1:$C$40,0),DAY($A$3)),P23,$A$3),"")</f>
        <v/>
      </c>
      <c r="X23" s="32"/>
      <c r="Y23" s="3"/>
      <c r="Z23" s="3"/>
      <c r="AA23" s="3"/>
      <c r="AB23" s="3"/>
      <c r="AC23" s="3"/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5"/>
      <c r="E24" s="327"/>
      <c r="F24" s="325"/>
      <c r="G24" s="326"/>
      <c r="H24" s="326"/>
      <c r="I24" s="325"/>
      <c r="J24" s="325"/>
      <c r="K24" s="325"/>
      <c r="L24" s="325"/>
      <c r="M24" s="325"/>
      <c r="N24" s="325"/>
      <c r="O24" s="325"/>
      <c r="P24" s="14" t="str">
        <f>IF(W24="   ",IF(INDEX(АП!$D$1:$AH$40,MATCH(C24,АП!$C$1:$C$40,0),DAY($A$3))=0,"",INDEX(АП!$D$1:$AH$40,MATCH(C24,АП!$C$1:$C$40,0),DAY($A$3))),"")</f>
        <v/>
      </c>
      <c r="Q24" s="126">
        <v>0.33333333333333331</v>
      </c>
      <c r="R24" s="127">
        <v>0.66666666666666663</v>
      </c>
      <c r="S24" s="128">
        <f t="shared" si="0"/>
        <v>0.33333333333333331</v>
      </c>
      <c r="T24" s="126">
        <v>0.33333333333333331</v>
      </c>
      <c r="U24" s="129">
        <v>0.54166666666666663</v>
      </c>
      <c r="V24" s="128">
        <f t="shared" si="1"/>
        <v>0.20833333333333331</v>
      </c>
      <c r="W24" s="130" t="str">
        <f>IFERROR(GetDescription(INDEX(АП!$D$1:$AH$40,MATCH(C24,АП!$C$1:$C$40,0),DAY($A$3)),P24,$A$3),"")</f>
        <v/>
      </c>
      <c r="X24" s="32"/>
      <c r="Y24" s="3"/>
      <c r="Z24" s="3"/>
      <c r="AA24" s="3"/>
      <c r="AB24" s="3"/>
      <c r="AC24" s="3"/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5"/>
      <c r="E25" s="327"/>
      <c r="F25" s="325"/>
      <c r="G25" s="326"/>
      <c r="H25" s="326"/>
      <c r="I25" s="325"/>
      <c r="J25" s="325"/>
      <c r="K25" s="325"/>
      <c r="L25" s="325"/>
      <c r="M25" s="325"/>
      <c r="N25" s="325"/>
      <c r="O25" s="325"/>
      <c r="P25" s="14" t="str">
        <f>IF(W25="   ",IF(INDEX(АП!$D$1:$AH$40,MATCH(C25,АП!$C$1:$C$40,0),DAY($A$3))=0,"",INDEX(АП!$D$1:$AH$40,MATCH(C25,АП!$C$1:$C$40,0),DAY($A$3))),"")</f>
        <v/>
      </c>
      <c r="Q25" s="126">
        <v>0.33333333333333331</v>
      </c>
      <c r="R25" s="127">
        <v>0.66666666666666663</v>
      </c>
      <c r="S25" s="128">
        <f t="shared" si="0"/>
        <v>0.33333333333333331</v>
      </c>
      <c r="T25" s="126">
        <v>0.33333333333333331</v>
      </c>
      <c r="U25" s="129">
        <v>0.54166666666666663</v>
      </c>
      <c r="V25" s="128">
        <f t="shared" si="1"/>
        <v>0.20833333333333331</v>
      </c>
      <c r="W25" s="130" t="str">
        <f>IFERROR(GetDescription(INDEX(АП!$D$1:$AH$40,MATCH(C25,АП!$C$1:$C$40,0),DAY($A$3)),P25,$A$3),"")</f>
        <v/>
      </c>
      <c r="X25" s="32"/>
      <c r="Y25" s="3"/>
      <c r="Z25" s="3"/>
      <c r="AA25" s="3"/>
      <c r="AB25" s="3"/>
      <c r="AC25" s="3"/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5"/>
      <c r="E26" s="327"/>
      <c r="F26" s="325"/>
      <c r="G26" s="326"/>
      <c r="H26" s="326"/>
      <c r="I26" s="325"/>
      <c r="J26" s="325"/>
      <c r="K26" s="325"/>
      <c r="L26" s="325"/>
      <c r="M26" s="325"/>
      <c r="N26" s="325"/>
      <c r="O26" s="325"/>
      <c r="P26" s="14" t="str">
        <f>IF(W26="   ",IF(INDEX(АП!$D$1:$AH$40,MATCH(C26,АП!$C$1:$C$40,0),DAY($A$3))=0,"",INDEX(АП!$D$1:$AH$40,MATCH(C26,АП!$C$1:$C$40,0),DAY($A$3))),"")</f>
        <v/>
      </c>
      <c r="Q26" s="126">
        <v>0.33333333333333331</v>
      </c>
      <c r="R26" s="127">
        <v>0.66666666666666663</v>
      </c>
      <c r="S26" s="128">
        <f t="shared" si="0"/>
        <v>0.33333333333333331</v>
      </c>
      <c r="T26" s="126">
        <v>0.33333333333333331</v>
      </c>
      <c r="U26" s="129">
        <v>0.54166666666666663</v>
      </c>
      <c r="V26" s="128">
        <f t="shared" si="1"/>
        <v>0.20833333333333331</v>
      </c>
      <c r="W26" s="130" t="str">
        <f>IFERROR(GetDescription(INDEX(АП!$D$1:$AH$40,MATCH(C26,АП!$C$1:$C$40,0),DAY($A$3)),P26,$A$3),"")</f>
        <v/>
      </c>
      <c r="X26" s="32"/>
      <c r="Y26" s="3"/>
      <c r="Z26" s="3"/>
      <c r="AA26" s="3"/>
      <c r="AB26" s="3"/>
      <c r="AC26" s="3"/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6"/>
      <c r="E27" s="347"/>
      <c r="F27" s="346"/>
      <c r="G27" s="348"/>
      <c r="H27" s="348"/>
      <c r="I27" s="346"/>
      <c r="J27" s="346"/>
      <c r="K27" s="346"/>
      <c r="L27" s="346"/>
      <c r="M27" s="346"/>
      <c r="N27" s="346"/>
      <c r="O27" s="346"/>
      <c r="P27" s="349" t="str">
        <f>IF(W27="   ",IF(INDEX(АП!$D$1:$AH$40,MATCH(C27,АП!$C$1:$C$40,0),DAY($A$3))=0,"",INDEX(АП!$D$1:$AH$40,MATCH(C27,АП!$C$1:$C$40,0),DAY($A$3))),"")</f>
        <v/>
      </c>
      <c r="Q27" s="350">
        <v>0.33333333333333331</v>
      </c>
      <c r="R27" s="352">
        <v>0.66666666666666663</v>
      </c>
      <c r="S27" s="353">
        <f t="shared" si="0"/>
        <v>0.33333333333333331</v>
      </c>
      <c r="T27" s="350">
        <v>0.33333333333333331</v>
      </c>
      <c r="U27" s="351">
        <v>0.54166666666666663</v>
      </c>
      <c r="V27" s="353">
        <f t="shared" si="1"/>
        <v>0.20833333333333331</v>
      </c>
      <c r="W27" s="354" t="str">
        <f>IFERROR(GetDescription(INDEX(АП!$D$1:$AH$40,MATCH(C27,АП!$C$1:$C$40,0),DAY($A$3)),P27,$A$3),"")</f>
        <v/>
      </c>
      <c r="X27" s="32"/>
      <c r="Y27" s="3"/>
      <c r="Z27" s="3"/>
      <c r="AA27" s="3"/>
      <c r="AB27" s="3"/>
      <c r="AC27" s="3"/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39" t="str">
        <f>IF(P28="","",INDEX(ВВОД!$R:$R,MATCH(DAY($A$3),ВВОД!J:J,0)))</f>
        <v/>
      </c>
      <c r="E28" s="340" t="str">
        <f>IF(P28="","",INDEX(ВВОД!$S:$S,MATCH(DAY($A$3),ВВОД!J:J,0)))</f>
        <v/>
      </c>
      <c r="F28" s="339"/>
      <c r="G28" s="341"/>
      <c r="H28" s="341"/>
      <c r="I28" s="339" t="str">
        <f>IF(P28="","",INDEX(ВВОД!$P:$P,MATCH(DAY($A$3),ВВОД!J:J,0))+INDEX(ВВОД!$Q:$Q,MATCH(DAY($A$3),ВВОД!J:J,0)))</f>
        <v/>
      </c>
      <c r="J28" s="339"/>
      <c r="K28" s="339"/>
      <c r="L28" s="339"/>
      <c r="M28" s="339"/>
      <c r="N28" s="339"/>
      <c r="O28" s="339"/>
      <c r="P28" s="342" t="str">
        <f>IF(W28="   ",IF(INDEX(АП!$D$1:$AH$40,MATCH(C28,АП!$C$1:$C$40,0),DAY($A$3))=0,"",INDEX(АП!$D$1:$AH$40,MATCH(C28,АП!$C$1:$C$40,0),DAY($A$3))),"")</f>
        <v/>
      </c>
      <c r="Q28" s="343">
        <v>0.33333333333333331</v>
      </c>
      <c r="R28" s="127">
        <v>0.66666666666666663</v>
      </c>
      <c r="S28" s="128">
        <f t="shared" si="0"/>
        <v>0.33333333333333331</v>
      </c>
      <c r="T28" s="343">
        <v>0.33333333333333331</v>
      </c>
      <c r="U28" s="344">
        <v>0.54166666666666663</v>
      </c>
      <c r="V28" s="128">
        <f t="shared" si="1"/>
        <v>0.20833333333333331</v>
      </c>
      <c r="W28" s="345" t="str">
        <f>IFERROR(GetDescription(INDEX(АП!$D$1:$AH$40,MATCH(C28,АП!$C$1:$C$40,0),DAY($A$3)),P28,$A$3),"")</f>
        <v xml:space="preserve">   </v>
      </c>
      <c r="X28" s="32"/>
      <c r="Y28" s="3"/>
      <c r="Z28" s="3"/>
      <c r="AA28" s="3"/>
      <c r="AB28" s="3"/>
      <c r="AC28" s="3"/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5"/>
      <c r="E29" s="327"/>
      <c r="F29" s="325"/>
      <c r="G29" s="326"/>
      <c r="H29" s="326"/>
      <c r="I29" s="325"/>
      <c r="J29" s="325"/>
      <c r="K29" s="325"/>
      <c r="L29" s="325"/>
      <c r="M29" s="325"/>
      <c r="N29" s="325"/>
      <c r="O29" s="325"/>
      <c r="P29" s="14" t="str">
        <f>IF(W29="   ",IF(INDEX(АП!$D$1:$AH$40,MATCH(C29,АП!$C$1:$C$40,0),DAY($A$3))=0,"",INDEX(АП!$D$1:$AH$40,MATCH(C29,АП!$C$1:$C$40,0),DAY($A$3))),"")</f>
        <v/>
      </c>
      <c r="Q29" s="126">
        <v>0.33333333333333331</v>
      </c>
      <c r="R29" s="127">
        <v>0.66666666666666663</v>
      </c>
      <c r="S29" s="128">
        <f t="shared" si="0"/>
        <v>0.33333333333333331</v>
      </c>
      <c r="T29" s="126">
        <v>0.33333333333333331</v>
      </c>
      <c r="U29" s="129">
        <v>0.54166666666666663</v>
      </c>
      <c r="V29" s="128">
        <f t="shared" si="1"/>
        <v>0.20833333333333331</v>
      </c>
      <c r="W29" s="130" t="str">
        <f>IFERROR(GetDescription(INDEX(АП!$D$1:$AH$40,MATCH(C29,АП!$C$1:$C$40,0),DAY($A$3)),P29,$A$3),"")</f>
        <v xml:space="preserve">   </v>
      </c>
      <c r="X29" s="32"/>
      <c r="Y29" s="3"/>
      <c r="Z29" s="3"/>
      <c r="AA29" s="3"/>
      <c r="AB29" s="3"/>
      <c r="AC29" s="3"/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5"/>
      <c r="E30" s="327"/>
      <c r="F30" s="325"/>
      <c r="G30" s="326"/>
      <c r="H30" s="326"/>
      <c r="I30" s="325"/>
      <c r="J30" s="325"/>
      <c r="K30" s="325"/>
      <c r="L30" s="325"/>
      <c r="M30" s="325"/>
      <c r="N30" s="325"/>
      <c r="O30" s="325"/>
      <c r="P30" s="14" t="str">
        <f>IF(W30="   ",IF(INDEX(АП!$D$1:$AH$40,MATCH(C30,АП!$C$1:$C$40,0),DAY($A$3))=0,"",INDEX(АП!$D$1:$AH$40,MATCH(C30,АП!$C$1:$C$40,0),DAY($A$3))),"")</f>
        <v/>
      </c>
      <c r="Q30" s="126">
        <v>0.33333333333333331</v>
      </c>
      <c r="R30" s="127">
        <v>0.66666666666666663</v>
      </c>
      <c r="S30" s="128">
        <f t="shared" si="0"/>
        <v>0.33333333333333331</v>
      </c>
      <c r="T30" s="126">
        <v>0.33333333333333331</v>
      </c>
      <c r="U30" s="129">
        <v>0.54166666666666663</v>
      </c>
      <c r="V30" s="128">
        <f t="shared" si="1"/>
        <v>0.20833333333333331</v>
      </c>
      <c r="W30" s="130" t="str">
        <f>IFERROR(GetDescription(INDEX(АП!$D$1:$AH$40,MATCH(C30,АП!$C$1:$C$40,0),DAY($A$3)),P30,$A$3),"")</f>
        <v xml:space="preserve">   </v>
      </c>
      <c r="X30" s="32"/>
      <c r="Y30" s="3"/>
      <c r="Z30" s="3"/>
      <c r="AA30" s="3"/>
      <c r="AB30" s="3"/>
      <c r="AC30" s="3"/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5"/>
      <c r="E31" s="327"/>
      <c r="F31" s="325"/>
      <c r="G31" s="326"/>
      <c r="H31" s="326"/>
      <c r="I31" s="325"/>
      <c r="J31" s="325"/>
      <c r="K31" s="325"/>
      <c r="L31" s="325"/>
      <c r="M31" s="325"/>
      <c r="N31" s="325"/>
      <c r="O31" s="325"/>
      <c r="P31" s="14" t="str">
        <f>IF(W31="   ",IF(INDEX(АП!$D$1:$AH$40,MATCH(C31,АП!$C$1:$C$40,0),DAY($A$3))=0,"",INDEX(АП!$D$1:$AH$40,MATCH(C31,АП!$C$1:$C$40,0),DAY($A$3))),"")</f>
        <v/>
      </c>
      <c r="Q31" s="126">
        <v>0.33333333333333331</v>
      </c>
      <c r="R31" s="127">
        <v>0.66666666666666663</v>
      </c>
      <c r="S31" s="128">
        <f t="shared" si="0"/>
        <v>0.33333333333333331</v>
      </c>
      <c r="T31" s="126">
        <v>0.33333333333333331</v>
      </c>
      <c r="U31" s="129">
        <v>0.54166666666666663</v>
      </c>
      <c r="V31" s="128">
        <f t="shared" si="1"/>
        <v>0.20833333333333331</v>
      </c>
      <c r="W31" s="130" t="str">
        <f>IFERROR(GetDescription(INDEX(АП!$D$1:$AH$40,MATCH(C31,АП!$C$1:$C$40,0),DAY($A$3)),P31,$A$3),"")</f>
        <v xml:space="preserve">   </v>
      </c>
      <c r="X31" s="32"/>
      <c r="Y31" s="3"/>
      <c r="Z31" s="3"/>
      <c r="AA31" s="3"/>
      <c r="AB31" s="3"/>
      <c r="AC31" s="3"/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5"/>
      <c r="E32" s="327"/>
      <c r="F32" s="325"/>
      <c r="G32" s="326"/>
      <c r="H32" s="326"/>
      <c r="I32" s="325"/>
      <c r="J32" s="325"/>
      <c r="K32" s="325"/>
      <c r="L32" s="325"/>
      <c r="M32" s="325"/>
      <c r="N32" s="325"/>
      <c r="O32" s="325"/>
      <c r="P32" s="14" t="str">
        <f>IF(W32="   ",IF(INDEX(АП!$D$1:$AH$40,MATCH(C32,АП!$C$1:$C$40,0),DAY($A$3))=0,"",INDEX(АП!$D$1:$AH$40,MATCH(C32,АП!$C$1:$C$40,0),DAY($A$3))),"")</f>
        <v/>
      </c>
      <c r="Q32" s="126">
        <v>0.33333333333333331</v>
      </c>
      <c r="R32" s="127">
        <v>0.66666666666666663</v>
      </c>
      <c r="S32" s="128">
        <f t="shared" si="0"/>
        <v>0.33333333333333331</v>
      </c>
      <c r="T32" s="126">
        <v>0.33333333333333331</v>
      </c>
      <c r="U32" s="129">
        <v>0.54166666666666663</v>
      </c>
      <c r="V32" s="128">
        <f t="shared" si="1"/>
        <v>0.20833333333333331</v>
      </c>
      <c r="W32" s="130" t="str">
        <f>IFERROR(GetDescription(INDEX(АП!$D$1:$AH$40,MATCH(C32,АП!$C$1:$C$40,0),DAY($A$3)),P32,$A$3),"")</f>
        <v/>
      </c>
      <c r="X32" s="32"/>
      <c r="Y32" s="3"/>
      <c r="Z32" s="3"/>
      <c r="AA32" s="3"/>
      <c r="AB32" s="3"/>
      <c r="AC32" s="3"/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5"/>
      <c r="E33" s="327"/>
      <c r="F33" s="325"/>
      <c r="G33" s="326"/>
      <c r="H33" s="326"/>
      <c r="I33" s="325"/>
      <c r="J33" s="325"/>
      <c r="K33" s="325"/>
      <c r="L33" s="325"/>
      <c r="M33" s="325"/>
      <c r="N33" s="325"/>
      <c r="O33" s="325"/>
      <c r="P33" s="14" t="str">
        <f>IF(W33="   ",IF(INDEX(АП!$D$1:$AH$40,MATCH(C33,АП!$C$1:$C$40,0),DAY($A$3))=0,"",INDEX(АП!$D$1:$AH$40,MATCH(C33,АП!$C$1:$C$40,0),DAY($A$3))),"")</f>
        <v/>
      </c>
      <c r="Q33" s="126">
        <v>0.33333333333333331</v>
      </c>
      <c r="R33" s="127">
        <v>0.66666666666666663</v>
      </c>
      <c r="S33" s="128">
        <f t="shared" si="0"/>
        <v>0.33333333333333331</v>
      </c>
      <c r="T33" s="126">
        <v>0.33333333333333331</v>
      </c>
      <c r="U33" s="129">
        <v>0.54166666666666663</v>
      </c>
      <c r="V33" s="128">
        <f t="shared" si="1"/>
        <v>0.20833333333333331</v>
      </c>
      <c r="W33" s="130" t="str">
        <f>IFERROR(GetDescription(INDEX(АП!$D$1:$AH$40,MATCH(C33,АП!$C$1:$C$40,0),DAY($A$3)),P33,$A$3),"")</f>
        <v/>
      </c>
      <c r="X33" s="32"/>
      <c r="Y33" s="3"/>
      <c r="Z33" s="3"/>
      <c r="AA33" s="3"/>
      <c r="AB33" s="3"/>
      <c r="AC33" s="3"/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5"/>
      <c r="E34" s="327"/>
      <c r="F34" s="325"/>
      <c r="G34" s="326"/>
      <c r="H34" s="326"/>
      <c r="I34" s="325"/>
      <c r="J34" s="325"/>
      <c r="K34" s="325"/>
      <c r="L34" s="325"/>
      <c r="M34" s="325"/>
      <c r="N34" s="325"/>
      <c r="O34" s="325"/>
      <c r="P34" s="14" t="str">
        <f>IF(W34="   ",IF(INDEX(АП!$D$1:$AH$40,MATCH(C34,АП!$C$1:$C$40,0),DAY($A$3))=0,"",INDEX(АП!$D$1:$AH$40,MATCH(C34,АП!$C$1:$C$40,0),DAY($A$3))),"")</f>
        <v/>
      </c>
      <c r="Q34" s="126">
        <v>0.33333333333333331</v>
      </c>
      <c r="R34" s="127">
        <v>0.66666666666666663</v>
      </c>
      <c r="S34" s="128">
        <f t="shared" si="0"/>
        <v>0.33333333333333331</v>
      </c>
      <c r="T34" s="126">
        <v>0.33333333333333331</v>
      </c>
      <c r="U34" s="129">
        <v>0.54166666666666663</v>
      </c>
      <c r="V34" s="128">
        <f t="shared" si="1"/>
        <v>0.20833333333333331</v>
      </c>
      <c r="W34" s="130" t="str">
        <f>IFERROR(GetDescription(INDEX(АП!$D$1:$AH$40,MATCH(C34,АП!$C$1:$C$40,0),DAY($A$3)),P34,$A$3),"")</f>
        <v/>
      </c>
      <c r="X34" s="32"/>
      <c r="Y34" s="3"/>
      <c r="Z34" s="3"/>
      <c r="AA34" s="3"/>
      <c r="AB34" s="3"/>
      <c r="AC34" s="3"/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5"/>
      <c r="E35" s="327"/>
      <c r="F35" s="325"/>
      <c r="G35" s="326"/>
      <c r="H35" s="326"/>
      <c r="I35" s="325"/>
      <c r="J35" s="325"/>
      <c r="K35" s="325"/>
      <c r="L35" s="325"/>
      <c r="M35" s="325"/>
      <c r="N35" s="325"/>
      <c r="O35" s="325"/>
      <c r="P35" s="14" t="str">
        <f>IF(W35="   ",IF(INDEX(АП!$D$1:$AH$40,MATCH(C35,АП!$C$1:$C$40,0),DAY($A$3))=0,"",INDEX(АП!$D$1:$AH$40,MATCH(C35,АП!$C$1:$C$40,0),DAY($A$3))),"")</f>
        <v/>
      </c>
      <c r="Q35" s="126">
        <v>0.33333333333333331</v>
      </c>
      <c r="R35" s="127">
        <v>0.66666666666666663</v>
      </c>
      <c r="S35" s="128">
        <f t="shared" si="0"/>
        <v>0.33333333333333331</v>
      </c>
      <c r="T35" s="126">
        <v>0.33333333333333331</v>
      </c>
      <c r="U35" s="129">
        <v>0.54166666666666663</v>
      </c>
      <c r="V35" s="128">
        <f t="shared" si="1"/>
        <v>0.20833333333333331</v>
      </c>
      <c r="W35" s="130" t="str">
        <f>IFERROR(GetDescription(INDEX(АП!$D$1:$AH$40,MATCH(C35,АП!$C$1:$C$40,0),DAY($A$3)),P35,$A$3),"")</f>
        <v/>
      </c>
      <c r="X35" s="32"/>
      <c r="Y35" s="3"/>
      <c r="Z35" s="3"/>
      <c r="AA35" s="3"/>
      <c r="AB35" s="3"/>
      <c r="AC35" s="3"/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5"/>
      <c r="E36" s="327"/>
      <c r="F36" s="325"/>
      <c r="G36" s="326"/>
      <c r="H36" s="326"/>
      <c r="I36" s="325"/>
      <c r="J36" s="325"/>
      <c r="K36" s="325"/>
      <c r="L36" s="325"/>
      <c r="M36" s="325"/>
      <c r="N36" s="325"/>
      <c r="O36" s="325"/>
      <c r="P36" s="14" t="str">
        <f>IF(W36="   ",IF(INDEX(АП!$D$1:$AH$40,MATCH(C36,АП!$C$1:$C$40,0),DAY($A$3))=0,"",INDEX(АП!$D$1:$AH$40,MATCH(C36,АП!$C$1:$C$40,0),DAY($A$3))),"")</f>
        <v/>
      </c>
      <c r="Q36" s="126">
        <v>0.33333333333333331</v>
      </c>
      <c r="R36" s="127">
        <v>0.66666666666666663</v>
      </c>
      <c r="S36" s="128">
        <f t="shared" si="0"/>
        <v>0.33333333333333331</v>
      </c>
      <c r="T36" s="126">
        <v>0.33333333333333331</v>
      </c>
      <c r="U36" s="129">
        <v>0.54166666666666663</v>
      </c>
      <c r="V36" s="128">
        <f t="shared" si="1"/>
        <v>0.20833333333333331</v>
      </c>
      <c r="W36" s="130" t="str">
        <f>IFERROR(GetDescription(INDEX(АП!$D$1:$AH$40,MATCH(C36,АП!$C$1:$C$40,0),DAY($A$3)),P36,$A$3),"")</f>
        <v/>
      </c>
      <c r="X36" s="32"/>
      <c r="Y36" s="3"/>
      <c r="Z36" s="3"/>
      <c r="AA36" s="3"/>
      <c r="AB36" s="3"/>
      <c r="AC36" s="3"/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6"/>
      <c r="E37" s="347"/>
      <c r="F37" s="346"/>
      <c r="G37" s="348"/>
      <c r="H37" s="348"/>
      <c r="I37" s="346"/>
      <c r="J37" s="346"/>
      <c r="K37" s="346"/>
      <c r="L37" s="346"/>
      <c r="M37" s="346"/>
      <c r="N37" s="346"/>
      <c r="O37" s="346"/>
      <c r="P37" s="349" t="str">
        <f>IF(W37="   ",IF(INDEX(АП!$D$1:$AH$40,MATCH(C37,АП!$C$1:$C$40,0),DAY($A$3))=0,"",INDEX(АП!$D$1:$AH$40,MATCH(C37,АП!$C$1:$C$40,0),DAY($A$3))),"")</f>
        <v/>
      </c>
      <c r="Q37" s="350">
        <v>0.33333333333333331</v>
      </c>
      <c r="R37" s="352">
        <v>0.66666666666666663</v>
      </c>
      <c r="S37" s="353">
        <f t="shared" si="0"/>
        <v>0.33333333333333331</v>
      </c>
      <c r="T37" s="350">
        <v>0.33333333333333331</v>
      </c>
      <c r="U37" s="351">
        <v>0.54166666666666663</v>
      </c>
      <c r="V37" s="353">
        <f t="shared" si="1"/>
        <v>0.20833333333333331</v>
      </c>
      <c r="W37" s="354" t="str">
        <f>IFERROR(GetDescription(INDEX(АП!$D$1:$AH$40,MATCH(C37,АП!$C$1:$C$40,0),DAY($A$3)),P37,$A$3),"")</f>
        <v/>
      </c>
      <c r="X37" s="32"/>
      <c r="Y37" s="3"/>
      <c r="Z37" s="3"/>
      <c r="AA37" s="3"/>
      <c r="AB37" s="3"/>
      <c r="AC37" s="3"/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39"/>
      <c r="E38" s="340"/>
      <c r="F38" s="339"/>
      <c r="G38" s="341"/>
      <c r="H38" s="341"/>
      <c r="I38" s="339"/>
      <c r="J38" s="339"/>
      <c r="K38" s="339"/>
      <c r="L38" s="339"/>
      <c r="M38" s="339"/>
      <c r="N38" s="339"/>
      <c r="O38" s="339"/>
      <c r="P38" s="342" t="str">
        <f>IF(W38="   ",IF(INDEX(АП!$D$1:$AH$40,MATCH(C38,АП!$C$1:$C$40,0),DAY($A$3))=0,"",INDEX(АП!$D$1:$AH$40,MATCH(C38,АП!$C$1:$C$40,0),DAY($A$3))),"")</f>
        <v/>
      </c>
      <c r="Q38" s="343">
        <v>0.33333333333333331</v>
      </c>
      <c r="R38" s="127">
        <v>0.66666666666666663</v>
      </c>
      <c r="S38" s="128">
        <f t="shared" si="0"/>
        <v>0.33333333333333331</v>
      </c>
      <c r="T38" s="343">
        <v>0.33333333333333331</v>
      </c>
      <c r="U38" s="344">
        <v>0.54166666666666663</v>
      </c>
      <c r="V38" s="128">
        <f t="shared" si="1"/>
        <v>0.20833333333333331</v>
      </c>
      <c r="W38" s="345" t="str">
        <f>IFERROR(GetDescription(INDEX(АП!$D$1:$AH$40,MATCH(C38,АП!$C$1:$C$40,0),DAY($A$3)),P38,$A$3),"")</f>
        <v xml:space="preserve">   </v>
      </c>
      <c r="X38" s="32"/>
      <c r="Y38" s="3"/>
      <c r="Z38" s="3"/>
      <c r="AA38" s="3"/>
      <c r="AB38" s="3"/>
      <c r="AC38" s="3"/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5"/>
      <c r="E39" s="327"/>
      <c r="F39" s="325"/>
      <c r="G39" s="326"/>
      <c r="H39" s="326"/>
      <c r="I39" s="325"/>
      <c r="J39" s="325"/>
      <c r="K39" s="325"/>
      <c r="L39" s="325"/>
      <c r="M39" s="325"/>
      <c r="N39" s="325"/>
      <c r="O39" s="325"/>
      <c r="P39" s="14" t="str">
        <f>IF(W39="   ",IF(INDEX(АП!$D$1:$AH$40,MATCH(C39,АП!$C$1:$C$40,0),DAY($A$3))=0,"",INDEX(АП!$D$1:$AH$40,MATCH(C39,АП!$C$1:$C$40,0),DAY($A$3))),"")</f>
        <v/>
      </c>
      <c r="Q39" s="126">
        <v>0.33333333333333331</v>
      </c>
      <c r="R39" s="127">
        <v>0.66666666666666663</v>
      </c>
      <c r="S39" s="128">
        <f t="shared" si="0"/>
        <v>0.33333333333333331</v>
      </c>
      <c r="T39" s="126">
        <v>0.33333333333333331</v>
      </c>
      <c r="U39" s="129">
        <v>0.54166666666666663</v>
      </c>
      <c r="V39" s="128">
        <f t="shared" si="1"/>
        <v>0.20833333333333331</v>
      </c>
      <c r="W39" s="130" t="str">
        <f>IFERROR(GetDescription(INDEX(АП!$D$1:$AH$40,MATCH(C39,АП!$C$1:$C$40,0),DAY($A$3)),P39,$A$3),"")</f>
        <v xml:space="preserve">   </v>
      </c>
      <c r="X39" s="32"/>
      <c r="Y39" s="3"/>
      <c r="Z39" s="3"/>
      <c r="AA39" s="3"/>
      <c r="AB39" s="3"/>
      <c r="AC39" s="3"/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5"/>
      <c r="E40" s="327"/>
      <c r="F40" s="325"/>
      <c r="G40" s="326"/>
      <c r="H40" s="326"/>
      <c r="I40" s="325"/>
      <c r="J40" s="325"/>
      <c r="K40" s="325"/>
      <c r="L40" s="325"/>
      <c r="M40" s="325"/>
      <c r="N40" s="325"/>
      <c r="O40" s="325"/>
      <c r="P40" s="14" t="str">
        <f>IF(W40="   ",IF(INDEX(АП!$D$1:$AH$40,MATCH(C40,АП!$C$1:$C$40,0),DAY($A$3))=0,"",INDEX(АП!$D$1:$AH$40,MATCH(C40,АП!$C$1:$C$40,0),DAY($A$3))),"")</f>
        <v/>
      </c>
      <c r="Q40" s="126">
        <v>0.33333333333333331</v>
      </c>
      <c r="R40" s="127">
        <v>0.66666666666666663</v>
      </c>
      <c r="S40" s="128">
        <f t="shared" si="0"/>
        <v>0.33333333333333331</v>
      </c>
      <c r="T40" s="126">
        <v>0.33333333333333331</v>
      </c>
      <c r="U40" s="129">
        <v>0.54166666666666663</v>
      </c>
      <c r="V40" s="128">
        <f t="shared" si="1"/>
        <v>0.20833333333333331</v>
      </c>
      <c r="W40" s="130" t="str">
        <f>IFERROR(GetDescription(INDEX(АП!$D$1:$AH$40,MATCH(C40,АП!$C$1:$C$40,0),DAY($A$3)),P40,$A$3),"")</f>
        <v xml:space="preserve">   </v>
      </c>
      <c r="X40" s="32"/>
      <c r="Y40" s="3"/>
      <c r="Z40" s="3"/>
      <c r="AA40" s="3"/>
      <c r="AB40" s="3"/>
      <c r="AC40" s="3"/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5"/>
      <c r="E41" s="327"/>
      <c r="F41" s="325"/>
      <c r="G41" s="326"/>
      <c r="H41" s="326"/>
      <c r="I41" s="325"/>
      <c r="J41" s="325"/>
      <c r="K41" s="325"/>
      <c r="L41" s="325"/>
      <c r="M41" s="325"/>
      <c r="N41" s="325"/>
      <c r="O41" s="325"/>
      <c r="P41" s="14" t="str">
        <f>IF(W41="   ",IF(INDEX(АП!$D$1:$AH$40,MATCH(C41,АП!$C$1:$C$40,0),DAY($A$3))=0,"",INDEX(АП!$D$1:$AH$40,MATCH(C41,АП!$C$1:$C$40,0),DAY($A$3))),"")</f>
        <v/>
      </c>
      <c r="Q41" s="126">
        <v>0.33333333333333331</v>
      </c>
      <c r="R41" s="127">
        <v>0.66666666666666663</v>
      </c>
      <c r="S41" s="128">
        <f t="shared" si="0"/>
        <v>0.33333333333333331</v>
      </c>
      <c r="T41" s="126">
        <v>0.33333333333333331</v>
      </c>
      <c r="U41" s="129">
        <v>0.54166666666666663</v>
      </c>
      <c r="V41" s="128">
        <f t="shared" si="1"/>
        <v>0.20833333333333331</v>
      </c>
      <c r="W41" s="130" t="str">
        <f>IFERROR(GetDescription(INDEX(АП!$D$1:$AH$40,MATCH(C41,АП!$C$1:$C$40,0),DAY($A$3)),P41,$A$3),"")</f>
        <v xml:space="preserve">   </v>
      </c>
      <c r="X41" s="32"/>
      <c r="Y41" s="3"/>
      <c r="Z41" s="3"/>
      <c r="AA41" s="3"/>
      <c r="AB41" s="3"/>
      <c r="AC41" s="3"/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5"/>
      <c r="E42" s="327"/>
      <c r="F42" s="325"/>
      <c r="G42" s="326"/>
      <c r="H42" s="326"/>
      <c r="I42" s="325"/>
      <c r="J42" s="325"/>
      <c r="K42" s="325"/>
      <c r="L42" s="325"/>
      <c r="M42" s="325"/>
      <c r="N42" s="325"/>
      <c r="O42" s="325"/>
      <c r="P42" s="14" t="str">
        <f>IF(W42="   ",IF(INDEX(АП!$D$1:$AH$40,MATCH(C42,АП!$C$1:$C$40,0),DAY($A$3))=0,"",INDEX(АП!$D$1:$AH$40,MATCH(C42,АП!$C$1:$C$40,0),DAY($A$3))),"")</f>
        <v/>
      </c>
      <c r="Q42" s="126">
        <v>0.33333333333333331</v>
      </c>
      <c r="R42" s="127">
        <v>0.66666666666666663</v>
      </c>
      <c r="S42" s="128">
        <f t="shared" si="0"/>
        <v>0.33333333333333331</v>
      </c>
      <c r="T42" s="126">
        <v>0.33333333333333331</v>
      </c>
      <c r="U42" s="129">
        <v>0.54166666666666663</v>
      </c>
      <c r="V42" s="128">
        <f t="shared" si="1"/>
        <v>0.20833333333333331</v>
      </c>
      <c r="W42" s="130" t="str">
        <f>IFERROR(GetDescription(INDEX(АП!$D$1:$AH$40,MATCH(C42,АП!$C$1:$C$40,0),DAY($A$3)),P42,$A$3),"")</f>
        <v xml:space="preserve">   </v>
      </c>
      <c r="X42" s="32"/>
      <c r="Y42" s="3"/>
      <c r="Z42" s="3"/>
      <c r="AA42" s="3"/>
      <c r="AB42" s="3"/>
      <c r="AC42" s="3"/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5"/>
      <c r="E43" s="325"/>
      <c r="F43" s="325"/>
      <c r="G43" s="326"/>
      <c r="H43" s="326"/>
      <c r="I43" s="325"/>
      <c r="J43" s="325"/>
      <c r="K43" s="325"/>
      <c r="L43" s="325"/>
      <c r="M43" s="325"/>
      <c r="N43" s="325"/>
      <c r="O43" s="325"/>
      <c r="P43" s="14" t="str">
        <f>IF(W43="   ",IF(INDEX(АП!$D$1:$AH$40,MATCH(C43,АП!$C$1:$C$40,0),DAY($A$3))=0,"",INDEX(АП!$D$1:$AH$40,MATCH(C43,АП!$C$1:$C$40,0),DAY($A$3))),"")</f>
        <v/>
      </c>
      <c r="Q43" s="126">
        <v>0.33333333333333331</v>
      </c>
      <c r="R43" s="127">
        <v>0.66666666666666663</v>
      </c>
      <c r="S43" s="128">
        <f t="shared" si="0"/>
        <v>0.33333333333333331</v>
      </c>
      <c r="T43" s="126">
        <v>0.33333333333333331</v>
      </c>
      <c r="U43" s="129">
        <v>0.54166666666666663</v>
      </c>
      <c r="V43" s="128">
        <f t="shared" si="1"/>
        <v>0.20833333333333331</v>
      </c>
      <c r="W43" s="130" t="str">
        <f>IFERROR(GetDescription(INDEX(АП!$D$1:$AH$40,MATCH(C43,АП!$C$1:$C$40,0),DAY($A$3)),P43,$A$3),"")</f>
        <v/>
      </c>
      <c r="X43" s="32"/>
      <c r="Y43" s="3"/>
      <c r="Z43" s="3"/>
      <c r="AA43" s="3"/>
      <c r="AB43" s="3"/>
      <c r="AC43" s="3"/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5"/>
      <c r="E44" s="325"/>
      <c r="F44" s="325"/>
      <c r="G44" s="326"/>
      <c r="H44" s="326"/>
      <c r="I44" s="325"/>
      <c r="J44" s="325"/>
      <c r="K44" s="325"/>
      <c r="L44" s="325"/>
      <c r="M44" s="325"/>
      <c r="N44" s="325"/>
      <c r="O44" s="325"/>
      <c r="P44" s="14" t="str">
        <f>IF(W44="   ",IF(INDEX(АП!$D$1:$AH$40,MATCH(C44,АП!$C$1:$C$40,0),DAY($A$3))=0,"",INDEX(АП!$D$1:$AH$40,MATCH(C44,АП!$C$1:$C$40,0),DAY($A$3))),"")</f>
        <v/>
      </c>
      <c r="Q44" s="126">
        <v>0.33333333333333331</v>
      </c>
      <c r="R44" s="127">
        <v>0.66666666666666663</v>
      </c>
      <c r="S44" s="128">
        <f t="shared" si="0"/>
        <v>0.33333333333333331</v>
      </c>
      <c r="T44" s="126">
        <v>0.33333333333333331</v>
      </c>
      <c r="U44" s="129">
        <v>0.54166666666666663</v>
      </c>
      <c r="V44" s="128">
        <f t="shared" si="1"/>
        <v>0.20833333333333331</v>
      </c>
      <c r="W44" s="130" t="str">
        <f>IFERROR(GetDescription(INDEX(АП!$D$1:$AH$40,MATCH(C44,АП!$C$1:$C$40,0),DAY($A$3)),P44,$A$3),"")</f>
        <v/>
      </c>
      <c r="X44" s="34"/>
      <c r="Y44" s="35"/>
      <c r="Z44" s="35"/>
      <c r="AA44" s="35"/>
      <c r="AB44" s="35"/>
      <c r="AC44" s="35"/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5"/>
      <c r="E45" s="325"/>
      <c r="F45" s="325"/>
      <c r="G45" s="326"/>
      <c r="H45" s="326"/>
      <c r="I45" s="325"/>
      <c r="J45" s="325"/>
      <c r="K45" s="325"/>
      <c r="L45" s="325"/>
      <c r="M45" s="325"/>
      <c r="N45" s="325"/>
      <c r="O45" s="325"/>
      <c r="P45" s="14" t="str">
        <f>IF(W45="   ",IF(INDEX(АП!$D$1:$AH$40,MATCH(C45,АП!$C$1:$C$40,0),DAY($A$3))=0,"",INDEX(АП!$D$1:$AH$40,MATCH(C45,АП!$C$1:$C$40,0),DAY($A$3))),"")</f>
        <v/>
      </c>
      <c r="Q45" s="126">
        <v>0.33333333333333331</v>
      </c>
      <c r="R45" s="127">
        <v>0.66666666666666663</v>
      </c>
      <c r="S45" s="128">
        <f t="shared" si="0"/>
        <v>0.33333333333333331</v>
      </c>
      <c r="T45" s="126">
        <v>0.33333333333333331</v>
      </c>
      <c r="U45" s="129">
        <v>0.54166666666666663</v>
      </c>
      <c r="V45" s="128">
        <f t="shared" si="1"/>
        <v>0.20833333333333331</v>
      </c>
      <c r="W45" s="130" t="str">
        <f>IFERROR(GetDescription(INDEX(АП!$D$1:$AH$40,MATCH(C45,АП!$C$1:$C$40,0),DAY($A$3)),P45,$A$3),"")</f>
        <v/>
      </c>
      <c r="X45" s="34"/>
      <c r="Y45" s="35"/>
      <c r="Z45" s="35"/>
      <c r="AA45" s="35"/>
      <c r="AB45" s="35"/>
      <c r="AC45" s="35"/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5"/>
      <c r="E46" s="325"/>
      <c r="F46" s="325"/>
      <c r="G46" s="326"/>
      <c r="H46" s="326"/>
      <c r="I46" s="325"/>
      <c r="J46" s="325"/>
      <c r="K46" s="325"/>
      <c r="L46" s="325"/>
      <c r="M46" s="325"/>
      <c r="N46" s="325"/>
      <c r="O46" s="325"/>
      <c r="P46" s="14" t="str">
        <f>IF(W46="   ",IF(INDEX(АП!$D$1:$AH$40,MATCH(C46,АП!$C$1:$C$40,0),DAY($A$3))=0,"",INDEX(АП!$D$1:$AH$40,MATCH(C46,АП!$C$1:$C$40,0),DAY($A$3))),"")</f>
        <v/>
      </c>
      <c r="Q46" s="126">
        <v>0.33333333333333331</v>
      </c>
      <c r="R46" s="127">
        <v>0.66666666666666663</v>
      </c>
      <c r="S46" s="128">
        <f t="shared" si="0"/>
        <v>0.33333333333333331</v>
      </c>
      <c r="T46" s="126">
        <v>0.33333333333333331</v>
      </c>
      <c r="U46" s="129">
        <v>0.54166666666666663</v>
      </c>
      <c r="V46" s="128">
        <f t="shared" si="1"/>
        <v>0.20833333333333331</v>
      </c>
      <c r="W46" s="130" t="str">
        <f>IFERROR(GetDescription(INDEX(АП!$D$1:$AH$40,MATCH(C46,АП!$C$1:$C$40,0),DAY($A$3)),P46,$A$3),"")</f>
        <v/>
      </c>
      <c r="X46" s="34"/>
      <c r="Y46" s="35"/>
      <c r="Z46" s="35"/>
      <c r="AA46" s="35"/>
      <c r="AB46" s="35"/>
      <c r="AC46" s="35"/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5"/>
      <c r="E47" s="325"/>
      <c r="F47" s="325"/>
      <c r="G47" s="326"/>
      <c r="H47" s="326"/>
      <c r="I47" s="325"/>
      <c r="J47" s="325"/>
      <c r="K47" s="325"/>
      <c r="L47" s="325"/>
      <c r="M47" s="325"/>
      <c r="N47" s="325"/>
      <c r="O47" s="325"/>
      <c r="P47" s="14" t="str">
        <f>IF(W47="   ",IF(INDEX(АП!$D$1:$AH$40,MATCH(C47,АП!$C$1:$C$40,0),DAY($A$3))=0,"",INDEX(АП!$D$1:$AH$40,MATCH(C47,АП!$C$1:$C$40,0),DAY($A$3))),"")</f>
        <v/>
      </c>
      <c r="Q47" s="126">
        <v>0.33333333333333331</v>
      </c>
      <c r="R47" s="127">
        <v>0.66666666666666663</v>
      </c>
      <c r="S47" s="128">
        <f t="shared" si="0"/>
        <v>0.33333333333333331</v>
      </c>
      <c r="T47" s="126">
        <v>0.33333333333333331</v>
      </c>
      <c r="U47" s="129">
        <v>0.54166666666666663</v>
      </c>
      <c r="V47" s="128">
        <f t="shared" si="1"/>
        <v>0.20833333333333331</v>
      </c>
      <c r="W47" s="130" t="str">
        <f>IFERROR(GetDescription(INDEX(АП!$D$1:$AH$40,MATCH(C47,АП!$C$1:$C$40,0),DAY($A$3)),P47,$A$3),"")</f>
        <v/>
      </c>
      <c r="X47" s="34"/>
      <c r="Y47" s="35"/>
      <c r="Z47" s="35"/>
      <c r="AA47" s="35"/>
      <c r="AB47" s="35"/>
      <c r="AC47" s="35"/>
    </row>
    <row r="48" spans="1:29" s="42" customFormat="1" ht="12">
      <c r="A48" s="501" t="s">
        <v>30</v>
      </c>
      <c r="B48" s="502"/>
      <c r="C48" s="502"/>
      <c r="D48" s="502"/>
      <c r="E48" s="502"/>
      <c r="F48" s="503"/>
      <c r="G48" s="328">
        <f t="shared" ref="G48:O48" si="2">SUM(G8:G47)</f>
        <v>0</v>
      </c>
      <c r="H48" s="328">
        <f t="shared" si="2"/>
        <v>0</v>
      </c>
      <c r="I48" s="328">
        <f t="shared" si="2"/>
        <v>0</v>
      </c>
      <c r="J48" s="328">
        <f t="shared" si="2"/>
        <v>0</v>
      </c>
      <c r="K48" s="328">
        <f t="shared" si="2"/>
        <v>0</v>
      </c>
      <c r="L48" s="328">
        <f t="shared" si="2"/>
        <v>0</v>
      </c>
      <c r="M48" s="328">
        <f t="shared" si="2"/>
        <v>0</v>
      </c>
      <c r="N48" s="328">
        <f t="shared" si="2"/>
        <v>0</v>
      </c>
      <c r="O48" s="328">
        <f t="shared" si="2"/>
        <v>0</v>
      </c>
      <c r="P48" s="38"/>
      <c r="Q48" s="38"/>
      <c r="R48" s="38"/>
      <c r="S48" s="26"/>
      <c r="T48" s="38"/>
      <c r="U48" s="38"/>
      <c r="V48" s="39"/>
      <c r="W48" s="40"/>
      <c r="X48" s="41"/>
      <c r="Y48" s="40"/>
      <c r="Z48" s="40"/>
      <c r="AA48" s="40"/>
      <c r="AB48" s="40"/>
      <c r="AC48" s="40"/>
    </row>
    <row r="49" spans="1:29" s="42" customFormat="1" ht="12">
      <c r="A49" s="501" t="s">
        <v>2041</v>
      </c>
      <c r="B49" s="502"/>
      <c r="C49" s="502"/>
      <c r="D49" s="502"/>
      <c r="E49" s="502"/>
      <c r="F49" s="503"/>
      <c r="G49" s="328">
        <f t="shared" ref="G49:O49" si="3">SUMIF($D$8:$D$47,"*так",G8:G47)</f>
        <v>0</v>
      </c>
      <c r="H49" s="328">
        <f t="shared" si="3"/>
        <v>0</v>
      </c>
      <c r="I49" s="328">
        <f t="shared" si="3"/>
        <v>0</v>
      </c>
      <c r="J49" s="328">
        <f t="shared" si="3"/>
        <v>0</v>
      </c>
      <c r="K49" s="328">
        <f t="shared" si="3"/>
        <v>0</v>
      </c>
      <c r="L49" s="328">
        <f t="shared" si="3"/>
        <v>0</v>
      </c>
      <c r="M49" s="328">
        <f t="shared" si="3"/>
        <v>0</v>
      </c>
      <c r="N49" s="328">
        <f t="shared" si="3"/>
        <v>0</v>
      </c>
      <c r="O49" s="328">
        <f t="shared" si="3"/>
        <v>0</v>
      </c>
      <c r="P49" s="38"/>
      <c r="Q49" s="38"/>
      <c r="R49" s="38"/>
      <c r="S49" s="26"/>
      <c r="T49" s="38"/>
      <c r="U49" s="38"/>
      <c r="V49" s="39"/>
      <c r="W49" s="323"/>
      <c r="X49" s="322"/>
      <c r="Y49" s="322"/>
      <c r="Z49" s="322"/>
      <c r="AA49" s="322"/>
      <c r="AB49" s="322"/>
      <c r="AC49" s="322"/>
    </row>
    <row r="50" spans="1:29" ht="12">
      <c r="W50" s="7"/>
      <c r="X50" s="7"/>
      <c r="Y50" s="7"/>
      <c r="Z50" s="7"/>
      <c r="AA50" s="19"/>
    </row>
    <row r="51" spans="1:29" ht="12.75">
      <c r="B51" s="28" t="s">
        <v>26</v>
      </c>
      <c r="W51" s="7"/>
      <c r="X51" s="7"/>
      <c r="Y51" s="7"/>
      <c r="Z51" s="7"/>
      <c r="AA51" s="19"/>
    </row>
    <row r="52" spans="1:29" ht="12.75">
      <c r="B52" s="29" t="s">
        <v>2058</v>
      </c>
      <c r="M52" s="391"/>
      <c r="W52" s="7"/>
      <c r="X52" s="7"/>
      <c r="Y52" s="7"/>
      <c r="Z52" s="7"/>
      <c r="AA52" s="19"/>
    </row>
    <row r="53" spans="1:29" ht="12.75">
      <c r="B53" s="28"/>
      <c r="W53" s="7"/>
      <c r="X53" s="7"/>
      <c r="Y53" s="7"/>
      <c r="Z53" s="7"/>
      <c r="AA53" s="19"/>
    </row>
    <row r="54" spans="1:29" ht="12.75">
      <c r="B54" s="28" t="s">
        <v>2059</v>
      </c>
      <c r="W54" s="7"/>
      <c r="X54" s="7"/>
      <c r="Y54" s="7"/>
      <c r="Z54" s="7"/>
      <c r="AA54" s="19"/>
    </row>
    <row r="55" spans="1:29" ht="12.75">
      <c r="A55" s="29"/>
      <c r="W55" s="7"/>
      <c r="X55" s="7"/>
      <c r="Y55" s="7"/>
      <c r="Z55" s="7"/>
      <c r="AA55" s="19"/>
    </row>
    <row r="56" spans="1:29" ht="12">
      <c r="A56" s="27" t="s">
        <v>2061</v>
      </c>
      <c r="W56" s="7"/>
      <c r="X56" s="7"/>
      <c r="Y56" s="7"/>
      <c r="Z56" s="7"/>
      <c r="AA56" s="19"/>
    </row>
    <row r="57" spans="1:29" ht="12">
      <c r="A57" s="27" t="s">
        <v>2062</v>
      </c>
      <c r="W57" s="7"/>
      <c r="X57" s="7"/>
      <c r="Y57" s="7"/>
      <c r="Z57" s="7"/>
      <c r="AA57" s="19"/>
    </row>
    <row r="58" spans="1:29" ht="12">
      <c r="W58" s="7"/>
      <c r="X58" s="7"/>
      <c r="Y58" s="7"/>
      <c r="Z58" s="7"/>
      <c r="AA58" s="19"/>
    </row>
    <row r="59" spans="1:29" ht="12">
      <c r="W59" s="7"/>
      <c r="X59" s="7"/>
      <c r="Y59" s="7"/>
      <c r="Z59" s="7"/>
      <c r="AA59" s="19"/>
    </row>
    <row r="60" spans="1:29" ht="12">
      <c r="W60" s="7"/>
    </row>
    <row r="61" spans="1:29" ht="12">
      <c r="W61" s="7"/>
    </row>
    <row r="62" spans="1:29" ht="12">
      <c r="W62" s="7"/>
    </row>
    <row r="63" spans="1:29" ht="12">
      <c r="W63" s="7"/>
    </row>
    <row r="64" spans="1:29" ht="12">
      <c r="W64" s="7"/>
    </row>
    <row r="65" spans="23:23" ht="12">
      <c r="W65" s="7"/>
    </row>
    <row r="66" spans="23:23" ht="12">
      <c r="W66" s="7"/>
    </row>
    <row r="67" spans="23:23" ht="12">
      <c r="W67" s="7"/>
    </row>
    <row r="68" spans="23:23" ht="12">
      <c r="W68" s="7"/>
    </row>
    <row r="69" spans="23:23" ht="12">
      <c r="W69" s="7"/>
    </row>
    <row r="70" spans="23:23" ht="12">
      <c r="W70" s="7"/>
    </row>
    <row r="71" spans="23:23" ht="12">
      <c r="W71" s="7"/>
    </row>
    <row r="72" spans="23:23" ht="12">
      <c r="W72" s="7"/>
    </row>
    <row r="73" spans="23:23" ht="12">
      <c r="W73" s="7"/>
    </row>
    <row r="74" spans="23:23" ht="12">
      <c r="W74" s="7"/>
    </row>
    <row r="75" spans="23:23" ht="12">
      <c r="W75" s="7"/>
    </row>
    <row r="76" spans="23:23" ht="12">
      <c r="W76" s="7"/>
    </row>
  </sheetData>
  <protectedRanges>
    <protectedRange sqref="X50:Y59" name="Диапазон1_1_2_1"/>
    <protectedRange sqref="W50:W76" name="Диапазон1_2_1_3_1_2_1"/>
    <protectedRange sqref="Z50:Z59" name="Диапазон1_2_1_6_1_2_1"/>
    <protectedRange sqref="L8:O9 F8:K8 K11:O12 K9:K10 F9:J16" name="Диапазон1_2_2_2_1_1"/>
    <protectedRange sqref="E8:E16 D9:D16" name="Диапазон1_2_2_2_1_1_1_1"/>
    <protectedRange sqref="W8" name="Диапазон1_1_2_1_1_5_1_2_1_1_1_1_1_1_3_1"/>
  </protectedRanges>
  <autoFilter ref="A7:W52">
    <filterColumn colId="3"/>
    <filterColumn colId="12"/>
    <filterColumn colId="13"/>
    <filterColumn colId="14"/>
  </autoFilter>
  <mergeCells count="34">
    <mergeCell ref="A48:F48"/>
    <mergeCell ref="A49:F49"/>
    <mergeCell ref="U5:U6"/>
    <mergeCell ref="V5:V6"/>
    <mergeCell ref="X5:X6"/>
    <mergeCell ref="AB4:AB6"/>
    <mergeCell ref="AC4:AC6"/>
    <mergeCell ref="D5:D6"/>
    <mergeCell ref="E5:E6"/>
    <mergeCell ref="F5:F6"/>
    <mergeCell ref="G5:H5"/>
    <mergeCell ref="I5:J5"/>
    <mergeCell ref="K5:L5"/>
    <mergeCell ref="M5:M6"/>
    <mergeCell ref="Y5:Y6"/>
    <mergeCell ref="Z5:Z6"/>
    <mergeCell ref="AA5:AA6"/>
    <mergeCell ref="N5:O5"/>
    <mergeCell ref="P5:P6"/>
    <mergeCell ref="Q5:Q6"/>
    <mergeCell ref="R5:R6"/>
    <mergeCell ref="A1:Y1"/>
    <mergeCell ref="A2:AA2"/>
    <mergeCell ref="A3:Y3"/>
    <mergeCell ref="A4:A6"/>
    <mergeCell ref="B4:B6"/>
    <mergeCell ref="C4:C6"/>
    <mergeCell ref="D4:O4"/>
    <mergeCell ref="P4:S4"/>
    <mergeCell ref="T4:V4"/>
    <mergeCell ref="W4:W6"/>
    <mergeCell ref="X4:AA4"/>
    <mergeCell ref="S5:S6"/>
    <mergeCell ref="T5:T6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Лист36">
    <tabColor rgb="FF00B050"/>
    <pageSetUpPr fitToPage="1"/>
  </sheetPr>
  <dimension ref="A1:X48"/>
  <sheetViews>
    <sheetView showWhiteSpace="0" view="pageLayout" zoomScale="120" zoomScaleNormal="120" zoomScaleSheetLayoutView="100" zoomScalePageLayoutView="120" workbookViewId="0">
      <selection activeCell="C8" sqref="C8"/>
    </sheetView>
  </sheetViews>
  <sheetFormatPr defaultRowHeight="11.25"/>
  <cols>
    <col min="1" max="1" width="5" style="1" customWidth="1"/>
    <col min="2" max="2" width="12.5703125" style="1" customWidth="1"/>
    <col min="3" max="3" width="7.85546875" style="1" customWidth="1"/>
    <col min="4" max="9" width="8.140625" style="1" customWidth="1"/>
    <col min="10" max="10" width="4.85546875" style="1" hidden="1" customWidth="1"/>
    <col min="11" max="11" width="4.42578125" style="1" hidden="1" customWidth="1"/>
    <col min="12" max="12" width="5.140625" style="1" hidden="1" customWidth="1"/>
    <col min="13" max="14" width="4.42578125" style="1" hidden="1" customWidth="1"/>
    <col min="15" max="15" width="5.7109375" style="1" hidden="1" customWidth="1"/>
    <col min="16" max="16" width="4.42578125" style="1" hidden="1" customWidth="1"/>
    <col min="17" max="17" width="35.140625" style="1" customWidth="1"/>
    <col min="18" max="18" width="6.140625" style="1" hidden="1" customWidth="1"/>
    <col min="19" max="19" width="6.5703125" style="1" hidden="1" customWidth="1"/>
    <col min="20" max="20" width="6.85546875" style="1" hidden="1" customWidth="1"/>
    <col min="21" max="21" width="7" style="1" hidden="1" customWidth="1"/>
    <col min="22" max="22" width="9.7109375" style="1" hidden="1" customWidth="1"/>
    <col min="23" max="23" width="13.28515625" style="1" hidden="1" customWidth="1"/>
    <col min="24" max="16384" width="9.140625" style="1"/>
  </cols>
  <sheetData>
    <row r="1" spans="1:23" ht="18.75">
      <c r="A1" s="511" t="s">
        <v>32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</row>
    <row r="2" spans="1:23" ht="18" customHeight="1">
      <c r="A2" s="537" t="s">
        <v>53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22"/>
      <c r="S2" s="22"/>
      <c r="T2" s="22"/>
      <c r="U2" s="22"/>
    </row>
    <row r="3" spans="1:23" ht="25.5" customHeight="1">
      <c r="A3" s="535">
        <f>'1'!A3:Y3</f>
        <v>45444</v>
      </c>
      <c r="B3" s="535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</row>
    <row r="4" spans="1:23" s="30" customFormat="1" ht="48.75" customHeight="1">
      <c r="A4" s="534" t="s">
        <v>13</v>
      </c>
      <c r="B4" s="534" t="s">
        <v>3</v>
      </c>
      <c r="C4" s="534" t="s">
        <v>4</v>
      </c>
      <c r="D4" s="519" t="s">
        <v>1</v>
      </c>
      <c r="E4" s="519"/>
      <c r="F4" s="519"/>
      <c r="G4" s="519"/>
      <c r="H4" s="519"/>
      <c r="I4" s="505"/>
      <c r="J4" s="534" t="s">
        <v>23</v>
      </c>
      <c r="K4" s="534"/>
      <c r="L4" s="534"/>
      <c r="M4" s="534"/>
      <c r="N4" s="534" t="s">
        <v>22</v>
      </c>
      <c r="O4" s="534"/>
      <c r="P4" s="534"/>
      <c r="Q4" s="534" t="s">
        <v>21</v>
      </c>
      <c r="R4" s="527" t="s">
        <v>12</v>
      </c>
      <c r="S4" s="532"/>
      <c r="T4" s="532"/>
      <c r="U4" s="532"/>
      <c r="V4" s="522" t="s">
        <v>19</v>
      </c>
      <c r="W4" s="522" t="s">
        <v>20</v>
      </c>
    </row>
    <row r="5" spans="1:23" s="30" customFormat="1" ht="24.75" customHeight="1">
      <c r="A5" s="534"/>
      <c r="B5" s="534"/>
      <c r="C5" s="534"/>
      <c r="D5" s="534" t="s">
        <v>6</v>
      </c>
      <c r="E5" s="534"/>
      <c r="F5" s="534" t="s">
        <v>25</v>
      </c>
      <c r="G5" s="534"/>
      <c r="H5" s="534" t="s">
        <v>0</v>
      </c>
      <c r="I5" s="534"/>
      <c r="J5" s="534" t="s">
        <v>17</v>
      </c>
      <c r="K5" s="533" t="s">
        <v>7</v>
      </c>
      <c r="L5" s="533" t="s">
        <v>8</v>
      </c>
      <c r="M5" s="533" t="s">
        <v>9</v>
      </c>
      <c r="N5" s="533" t="s">
        <v>7</v>
      </c>
      <c r="O5" s="533" t="s">
        <v>8</v>
      </c>
      <c r="P5" s="533" t="s">
        <v>9</v>
      </c>
      <c r="Q5" s="534"/>
      <c r="R5" s="536" t="s">
        <v>7</v>
      </c>
      <c r="S5" s="531" t="s">
        <v>8</v>
      </c>
      <c r="T5" s="531" t="s">
        <v>9</v>
      </c>
      <c r="U5" s="531" t="s">
        <v>18</v>
      </c>
      <c r="V5" s="523"/>
      <c r="W5" s="523"/>
    </row>
    <row r="6" spans="1:23" s="30" customFormat="1" ht="39" customHeight="1">
      <c r="A6" s="534"/>
      <c r="B6" s="534"/>
      <c r="C6" s="534"/>
      <c r="D6" s="25" t="s">
        <v>10</v>
      </c>
      <c r="E6" s="25" t="s">
        <v>11</v>
      </c>
      <c r="F6" s="25" t="s">
        <v>10</v>
      </c>
      <c r="G6" s="25" t="s">
        <v>11</v>
      </c>
      <c r="H6" s="25" t="s">
        <v>10</v>
      </c>
      <c r="I6" s="25" t="s">
        <v>11</v>
      </c>
      <c r="J6" s="534"/>
      <c r="K6" s="533"/>
      <c r="L6" s="533"/>
      <c r="M6" s="533"/>
      <c r="N6" s="533"/>
      <c r="O6" s="533"/>
      <c r="P6" s="533"/>
      <c r="Q6" s="534"/>
      <c r="R6" s="536"/>
      <c r="S6" s="531"/>
      <c r="T6" s="531"/>
      <c r="U6" s="531"/>
      <c r="V6" s="524"/>
      <c r="W6" s="524"/>
    </row>
    <row r="7" spans="1:23" s="31" customFormat="1" ht="12">
      <c r="A7" s="24">
        <v>1</v>
      </c>
      <c r="B7" s="24">
        <v>2</v>
      </c>
      <c r="C7" s="24">
        <v>3</v>
      </c>
      <c r="D7" s="24">
        <v>7</v>
      </c>
      <c r="E7" s="24">
        <v>8</v>
      </c>
      <c r="F7" s="24">
        <v>9</v>
      </c>
      <c r="G7" s="24">
        <v>10</v>
      </c>
      <c r="H7" s="24">
        <v>11</v>
      </c>
      <c r="I7" s="24">
        <v>12</v>
      </c>
      <c r="J7" s="24"/>
      <c r="K7" s="24">
        <v>14</v>
      </c>
      <c r="L7" s="24">
        <v>15</v>
      </c>
      <c r="M7" s="24">
        <v>16</v>
      </c>
      <c r="N7" s="24">
        <v>17</v>
      </c>
      <c r="O7" s="24">
        <v>18</v>
      </c>
      <c r="P7" s="24">
        <v>19</v>
      </c>
      <c r="Q7" s="24">
        <v>20</v>
      </c>
      <c r="R7" s="23">
        <v>21</v>
      </c>
      <c r="S7" s="24">
        <v>22</v>
      </c>
      <c r="T7" s="24">
        <v>23</v>
      </c>
      <c r="U7" s="24">
        <v>24</v>
      </c>
      <c r="V7" s="24">
        <v>25</v>
      </c>
      <c r="W7" s="24">
        <v>26</v>
      </c>
    </row>
    <row r="8" spans="1:23" s="30" customFormat="1" ht="11.85" customHeight="1">
      <c r="A8" s="2">
        <v>1</v>
      </c>
      <c r="B8" s="14" t="e">
        <f>IF(#REF!&lt;&gt;0,#REF!,"")</f>
        <v>#REF!</v>
      </c>
      <c r="C8" s="14" t="e">
        <f>IF(#REF!&lt;&gt;0,#REF!,"")</f>
        <v>#REF!</v>
      </c>
      <c r="D8" s="10"/>
      <c r="E8" s="10" t="e">
        <f>IF('1'!H8&lt;&gt;"",'1'!H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8" s="10" t="e">
        <f>IF('1'!I8&lt;&gt;"",'1'!I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8" s="10" t="e">
        <f>IF('1'!J8&lt;&gt;"",'1'!J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8" s="10" t="e">
        <f>IF('1'!K8&lt;&gt;"",'1'!K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8" s="10" t="e">
        <f>IF('1'!L8&lt;&gt;"",'1'!L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8" s="2"/>
      <c r="K8" s="4"/>
      <c r="L8" s="13"/>
      <c r="M8" s="4"/>
      <c r="N8" s="4"/>
      <c r="O8" s="13"/>
      <c r="P8" s="4"/>
      <c r="Q8" s="4"/>
      <c r="R8" s="32"/>
      <c r="S8" s="3"/>
      <c r="T8" s="3"/>
      <c r="U8" s="3"/>
      <c r="V8" s="3"/>
      <c r="W8" s="3"/>
    </row>
    <row r="9" spans="1:23" s="30" customFormat="1" ht="11.85" customHeight="1">
      <c r="A9" s="2">
        <v>2</v>
      </c>
      <c r="B9" s="14" t="e">
        <f>IF(#REF!&lt;&gt;0,#REF!,"")</f>
        <v>#REF!</v>
      </c>
      <c r="C9" s="14" t="e">
        <f>IF(#REF!&lt;&gt;0,#REF!,"")</f>
        <v>#REF!</v>
      </c>
      <c r="D9" s="10" t="e">
        <f>IF('1'!G9&lt;&gt;"",'1'!G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9" s="10" t="e">
        <f>IF('1'!H9&lt;&gt;"",'1'!H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9" s="10" t="e">
        <f>IF('1'!I9&lt;&gt;"",'1'!I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9" s="10" t="e">
        <f>IF('1'!J9&lt;&gt;"",'1'!J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9" s="10" t="e">
        <f>IF('1'!K9&lt;&gt;"",'1'!K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9" s="10" t="e">
        <f>IF('1'!L9&lt;&gt;"",'1'!L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9" s="2"/>
      <c r="K9" s="4"/>
      <c r="L9" s="13"/>
      <c r="M9" s="4"/>
      <c r="N9" s="4"/>
      <c r="O9" s="13"/>
      <c r="P9" s="4"/>
      <c r="Q9" s="4"/>
      <c r="R9" s="32"/>
      <c r="S9" s="3"/>
      <c r="T9" s="3"/>
      <c r="U9" s="3"/>
      <c r="V9" s="3"/>
      <c r="W9" s="3"/>
    </row>
    <row r="10" spans="1:23" s="30" customFormat="1" ht="11.85" customHeight="1">
      <c r="A10" s="2">
        <v>3</v>
      </c>
      <c r="B10" s="14" t="e">
        <f>IF(#REF!&lt;&gt;0,#REF!,"")</f>
        <v>#REF!</v>
      </c>
      <c r="C10" s="14" t="e">
        <f>IF(#REF!&lt;&gt;0,#REF!,"")</f>
        <v>#REF!</v>
      </c>
      <c r="D10" s="10" t="e">
        <f>IF('1'!G10&lt;&gt;"",'1'!G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0" s="10" t="e">
        <f>IF('1'!H10&lt;&gt;"",'1'!H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0" s="10" t="e">
        <f>IF('1'!I10&lt;&gt;"",'1'!I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0" s="10" t="e">
        <f>IF('1'!J10&lt;&gt;"",'1'!J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0" s="10" t="e">
        <f>IF('1'!K10&lt;&gt;"",'1'!K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0" s="10" t="e">
        <f>IF('1'!L10&lt;&gt;"",'1'!L10,0)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0" s="3"/>
      <c r="K10" s="4"/>
      <c r="L10" s="13"/>
      <c r="M10" s="4"/>
      <c r="N10" s="4"/>
      <c r="O10" s="13"/>
      <c r="P10" s="4"/>
      <c r="Q10" s="33"/>
      <c r="R10" s="32"/>
      <c r="S10" s="3"/>
      <c r="T10" s="3"/>
      <c r="U10" s="3"/>
      <c r="V10" s="3"/>
      <c r="W10" s="3"/>
    </row>
    <row r="11" spans="1:23" s="30" customFormat="1" ht="11.85" customHeight="1">
      <c r="A11" s="2">
        <v>4</v>
      </c>
      <c r="B11" s="14" t="e">
        <f>IF(#REF!&lt;&gt;0,#REF!,"")</f>
        <v>#REF!</v>
      </c>
      <c r="C11" s="14" t="e">
        <f>IF(#REF!&lt;&gt;0,#REF!,"")</f>
        <v>#REF!</v>
      </c>
      <c r="D11" s="10" t="e">
        <f>IF('1'!G11&lt;&gt;"",'1'!G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1" s="10" t="e">
        <f>IF('1'!H11&lt;&gt;"",'1'!H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1" s="10" t="e">
        <f>IF('1'!I11&lt;&gt;"",'1'!I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1" s="10" t="e">
        <f>IF('1'!J11&lt;&gt;"",'1'!J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1" s="10" t="e">
        <f>IF('1'!K11&lt;&gt;"",'1'!K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1" s="10" t="e">
        <f>IF('1'!L11&lt;&gt;"",'1'!L11,0)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1" s="2"/>
      <c r="K11" s="4"/>
      <c r="L11" s="13"/>
      <c r="M11" s="4"/>
      <c r="N11" s="4"/>
      <c r="O11" s="13"/>
      <c r="P11" s="4"/>
      <c r="Q11" s="4"/>
      <c r="R11" s="32"/>
      <c r="S11" s="3"/>
      <c r="T11" s="3"/>
      <c r="U11" s="3"/>
      <c r="V11" s="3"/>
      <c r="W11" s="3"/>
    </row>
    <row r="12" spans="1:23" s="30" customFormat="1" ht="11.85" customHeight="1">
      <c r="A12" s="2">
        <v>5</v>
      </c>
      <c r="B12" s="14" t="e">
        <f>IF(#REF!&lt;&gt;0,#REF!,"")</f>
        <v>#REF!</v>
      </c>
      <c r="C12" s="14" t="e">
        <f>IF(#REF!&lt;&gt;0,#REF!,"")</f>
        <v>#REF!</v>
      </c>
      <c r="D12" s="10" t="e">
        <f>IF('1'!G12&lt;&gt;"",'1'!G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2" s="10" t="e">
        <f>IF('1'!H12&lt;&gt;"",'1'!H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2" s="10" t="e">
        <f>IF('1'!I12&lt;&gt;"",'1'!I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2" s="10" t="e">
        <f>IF('1'!J12&lt;&gt;"",'1'!J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2" s="10" t="e">
        <f>IF('1'!K12&lt;&gt;"",'1'!K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2" s="10" t="e">
        <f>IF('1'!L12&lt;&gt;"",'1'!L12,0)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2" s="2"/>
      <c r="K12" s="4"/>
      <c r="L12" s="13"/>
      <c r="M12" s="4"/>
      <c r="N12" s="4"/>
      <c r="O12" s="13"/>
      <c r="P12" s="4"/>
      <c r="Q12" s="4"/>
      <c r="R12" s="32"/>
      <c r="S12" s="3"/>
      <c r="T12" s="3"/>
      <c r="U12" s="3"/>
      <c r="V12" s="3"/>
      <c r="W12" s="3"/>
    </row>
    <row r="13" spans="1:23" s="30" customFormat="1" ht="11.85" customHeight="1">
      <c r="A13" s="2">
        <v>6</v>
      </c>
      <c r="B13" s="14" t="e">
        <f>IF(#REF!&lt;&gt;0,#REF!,"")</f>
        <v>#REF!</v>
      </c>
      <c r="C13" s="14" t="e">
        <f>IF(#REF!&lt;&gt;0,#REF!,"")</f>
        <v>#REF!</v>
      </c>
      <c r="D13" s="10" t="e">
        <f>IF('1'!G13&lt;&gt;"",'1'!G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3" s="10" t="e">
        <f>IF('1'!H13&lt;&gt;"",'1'!H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3" s="10" t="e">
        <f>IF('1'!I13&lt;&gt;"",'1'!I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3" s="10" t="e">
        <f>IF('1'!J13&lt;&gt;"",'1'!J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3" s="10" t="e">
        <f>IF('1'!K13&lt;&gt;"",'1'!K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3" s="10" t="e">
        <f>IF('1'!L13&lt;&gt;"",'1'!L13,0)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3" s="3"/>
      <c r="K13" s="4"/>
      <c r="L13" s="13"/>
      <c r="M13" s="4"/>
      <c r="N13" s="4"/>
      <c r="O13" s="13"/>
      <c r="P13" s="4"/>
      <c r="Q13" s="33"/>
      <c r="R13" s="32"/>
      <c r="S13" s="3"/>
      <c r="T13" s="3"/>
      <c r="U13" s="3"/>
      <c r="V13" s="3"/>
      <c r="W13" s="3"/>
    </row>
    <row r="14" spans="1:23" s="30" customFormat="1" ht="11.85" customHeight="1">
      <c r="A14" s="2">
        <v>7</v>
      </c>
      <c r="B14" s="14" t="e">
        <f>IF(#REF!&lt;&gt;0,#REF!,"")</f>
        <v>#REF!</v>
      </c>
      <c r="C14" s="14" t="e">
        <f>IF(#REF!&lt;&gt;0,#REF!,"")</f>
        <v>#REF!</v>
      </c>
      <c r="D14" s="10" t="e">
        <f>IF('1'!G14&lt;&gt;"",'1'!G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4" s="10" t="e">
        <f>IF('1'!H14&lt;&gt;"",'1'!H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4" s="10" t="e">
        <f>IF('1'!I14&lt;&gt;"",'1'!I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4" s="10" t="e">
        <f>IF('1'!J14&lt;&gt;"",'1'!J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4" s="10" t="e">
        <f>IF('1'!K14&lt;&gt;"",'1'!K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4" s="10" t="e">
        <f>IF('1'!L14&lt;&gt;"",'1'!L14,0)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4" s="2"/>
      <c r="K14" s="4"/>
      <c r="L14" s="13"/>
      <c r="M14" s="4"/>
      <c r="N14" s="4"/>
      <c r="O14" s="13"/>
      <c r="P14" s="4"/>
      <c r="Q14" s="4"/>
      <c r="R14" s="32"/>
      <c r="S14" s="3"/>
      <c r="T14" s="3"/>
      <c r="U14" s="3"/>
      <c r="V14" s="3"/>
      <c r="W14" s="3"/>
    </row>
    <row r="15" spans="1:23" s="30" customFormat="1" ht="11.85" customHeight="1">
      <c r="A15" s="2">
        <v>8</v>
      </c>
      <c r="B15" s="14" t="e">
        <f>IF(#REF!&lt;&gt;0,#REF!,"")</f>
        <v>#REF!</v>
      </c>
      <c r="C15" s="14" t="e">
        <f>IF(#REF!&lt;&gt;0,#REF!,"")</f>
        <v>#REF!</v>
      </c>
      <c r="D15" s="10" t="e">
        <f>IF('1'!G15&lt;&gt;"",'1'!G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5" s="10" t="e">
        <f>IF('1'!H15&lt;&gt;"",'1'!H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5" s="10" t="e">
        <f>IF('1'!I15&lt;&gt;"",'1'!I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5" s="10" t="e">
        <f>IF('1'!J15&lt;&gt;"",'1'!J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5" s="10" t="e">
        <f>IF('1'!K15&lt;&gt;"",'1'!K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5" s="10" t="e">
        <f>IF('1'!L15&lt;&gt;"",'1'!L15,0)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5" s="2"/>
      <c r="K15" s="4"/>
      <c r="L15" s="13"/>
      <c r="M15" s="4"/>
      <c r="N15" s="4"/>
      <c r="O15" s="13"/>
      <c r="P15" s="4"/>
      <c r="Q15" s="4"/>
      <c r="R15" s="32"/>
      <c r="S15" s="3"/>
      <c r="T15" s="3"/>
      <c r="U15" s="3"/>
      <c r="V15" s="3"/>
      <c r="W15" s="3"/>
    </row>
    <row r="16" spans="1:23" s="30" customFormat="1" ht="11.85" customHeight="1">
      <c r="A16" s="2">
        <v>9</v>
      </c>
      <c r="B16" s="14" t="e">
        <f>IF(#REF!&lt;&gt;0,#REF!,"")</f>
        <v>#REF!</v>
      </c>
      <c r="C16" s="14" t="e">
        <f>IF(#REF!&lt;&gt;0,#REF!,"")</f>
        <v>#REF!</v>
      </c>
      <c r="D16" s="10" t="e">
        <f>IF('1'!G16&lt;&gt;"",'1'!G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6" s="10" t="e">
        <f>IF('1'!H16&lt;&gt;"",'1'!H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6" s="10" t="e">
        <f>IF('1'!I16&lt;&gt;"",'1'!I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6" s="10" t="e">
        <f>IF('1'!J16&lt;&gt;"",'1'!J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6" s="10" t="e">
        <f>IF('1'!K16&lt;&gt;"",'1'!K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6" s="10" t="e">
        <f>IF('1'!L16&lt;&gt;"",'1'!L16,0)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6" s="2"/>
      <c r="K16" s="4"/>
      <c r="L16" s="13"/>
      <c r="M16" s="4"/>
      <c r="N16" s="4"/>
      <c r="O16" s="13"/>
      <c r="P16" s="4"/>
      <c r="Q16" s="4"/>
      <c r="R16" s="32"/>
      <c r="S16" s="3"/>
      <c r="T16" s="3"/>
      <c r="U16" s="3"/>
      <c r="V16" s="3"/>
      <c r="W16" s="3"/>
    </row>
    <row r="17" spans="1:24" s="30" customFormat="1" ht="11.85" customHeight="1">
      <c r="A17" s="2">
        <v>10</v>
      </c>
      <c r="B17" s="14" t="e">
        <f>IF(#REF!&lt;&gt;0,#REF!,"")</f>
        <v>#REF!</v>
      </c>
      <c r="C17" s="14" t="e">
        <f>IF(#REF!&lt;&gt;0,#REF!,"")</f>
        <v>#REF!</v>
      </c>
      <c r="D17" s="10" t="e">
        <f>IF('1'!G17&lt;&gt;"",'1'!G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7" s="10" t="e">
        <f>IF('1'!H17&lt;&gt;"",'1'!H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7" s="10" t="e">
        <f>IF('1'!I17&lt;&gt;"",'1'!I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7" s="10" t="e">
        <f>IF('1'!J17&lt;&gt;"",'1'!J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7" s="10" t="e">
        <f>IF('1'!K17&lt;&gt;"",'1'!K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7" s="10" t="e">
        <f>IF('1'!L17&lt;&gt;"",'1'!L17,0)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7" s="3"/>
      <c r="K17" s="4"/>
      <c r="L17" s="13"/>
      <c r="M17" s="4"/>
      <c r="N17" s="4"/>
      <c r="O17" s="13"/>
      <c r="P17" s="4"/>
      <c r="Q17" s="33"/>
      <c r="R17" s="32"/>
      <c r="S17" s="3"/>
      <c r="T17" s="3"/>
      <c r="U17" s="3"/>
      <c r="V17" s="3"/>
      <c r="W17" s="3"/>
    </row>
    <row r="18" spans="1:24" s="30" customFormat="1" ht="11.85" customHeight="1">
      <c r="A18" s="2">
        <v>11</v>
      </c>
      <c r="B18" s="14" t="e">
        <f>IF(#REF!&lt;&gt;0,#REF!,"")</f>
        <v>#REF!</v>
      </c>
      <c r="C18" s="14" t="e">
        <f>IF(#REF!&lt;&gt;0,#REF!,"")</f>
        <v>#REF!</v>
      </c>
      <c r="D18" s="10" t="e">
        <f>IF('1'!G18&lt;&gt;"",'1'!G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8" s="10" t="e">
        <f>IF('1'!H18&lt;&gt;"",'1'!H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8" s="10" t="e">
        <f>IF('1'!I18&lt;&gt;"",'1'!I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8" s="10" t="e">
        <f>IF('1'!J18&lt;&gt;"",'1'!J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8" s="10" t="e">
        <f>IF('1'!K18&lt;&gt;"",'1'!K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8" s="10" t="e">
        <f>IF('1'!L18&lt;&gt;"",'1'!L18,0)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8" s="2"/>
      <c r="K18" s="4"/>
      <c r="L18" s="13"/>
      <c r="M18" s="4"/>
      <c r="N18" s="4"/>
      <c r="O18" s="13"/>
      <c r="P18" s="4"/>
      <c r="Q18" s="4"/>
      <c r="R18" s="32"/>
      <c r="S18" s="3"/>
      <c r="T18" s="3"/>
      <c r="U18" s="3"/>
      <c r="V18" s="3"/>
      <c r="W18" s="3"/>
    </row>
    <row r="19" spans="1:24" s="30" customFormat="1" ht="11.85" customHeight="1">
      <c r="A19" s="2">
        <v>12</v>
      </c>
      <c r="B19" s="14" t="e">
        <f>IF(#REF!&lt;&gt;0,#REF!,"")</f>
        <v>#REF!</v>
      </c>
      <c r="C19" s="14" t="e">
        <f>IF(#REF!&lt;&gt;0,#REF!,"")</f>
        <v>#REF!</v>
      </c>
      <c r="D19" s="10" t="e">
        <f>IF('1'!G19&lt;&gt;"",'1'!G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19" s="10" t="e">
        <f>IF('1'!H19&lt;&gt;"",'1'!H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19" s="10" t="e">
        <f>IF('1'!I19&lt;&gt;"",'1'!I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19" s="10" t="e">
        <f>IF('1'!J19&lt;&gt;"",'1'!J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19" s="10" t="e">
        <f>IF('1'!K19&lt;&gt;"",'1'!K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19" s="10" t="e">
        <f>IF('1'!L19&lt;&gt;"",'1'!L19,0)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19" s="2"/>
      <c r="K19" s="4"/>
      <c r="L19" s="13"/>
      <c r="M19" s="4"/>
      <c r="N19" s="4"/>
      <c r="O19" s="13"/>
      <c r="P19" s="4"/>
      <c r="Q19" s="4"/>
      <c r="R19" s="34"/>
      <c r="S19" s="35"/>
      <c r="T19" s="35"/>
      <c r="U19" s="35"/>
      <c r="V19" s="35"/>
      <c r="W19" s="35"/>
    </row>
    <row r="20" spans="1:24" s="30" customFormat="1" ht="11.85" customHeight="1">
      <c r="A20" s="2">
        <v>13</v>
      </c>
      <c r="B20" s="14" t="e">
        <f>IF(#REF!&lt;&gt;0,#REF!,"")</f>
        <v>#REF!</v>
      </c>
      <c r="C20" s="14" t="e">
        <f>IF(#REF!&lt;&gt;0,#REF!,"")</f>
        <v>#REF!</v>
      </c>
      <c r="D20" s="10" t="e">
        <f>IF('1'!G20&lt;&gt;"",'1'!G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0" s="10" t="e">
        <f>IF('1'!H20&lt;&gt;"",'1'!H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0" s="10" t="e">
        <f>IF('1'!I20&lt;&gt;"",'1'!I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0" s="10" t="e">
        <f>IF('1'!J20&lt;&gt;"",'1'!J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0" s="10" t="e">
        <f>IF('1'!K20&lt;&gt;"",'1'!K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0" s="10" t="e">
        <f>IF('1'!L20&lt;&gt;"",'1'!L20,0)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0" s="2"/>
      <c r="K20" s="4"/>
      <c r="L20" s="13"/>
      <c r="M20" s="4"/>
      <c r="N20" s="4"/>
      <c r="O20" s="13"/>
      <c r="P20" s="4"/>
      <c r="Q20" s="4"/>
      <c r="R20" s="34"/>
      <c r="S20" s="35"/>
      <c r="T20" s="35"/>
      <c r="U20" s="35"/>
      <c r="V20" s="35"/>
      <c r="W20" s="35"/>
    </row>
    <row r="21" spans="1:24" s="30" customFormat="1" ht="11.85" customHeight="1">
      <c r="A21" s="2">
        <v>14</v>
      </c>
      <c r="B21" s="14" t="e">
        <f>IF(#REF!&lt;&gt;0,#REF!,"")</f>
        <v>#REF!</v>
      </c>
      <c r="C21" s="14" t="e">
        <f>IF(#REF!&lt;&gt;0,#REF!,"")</f>
        <v>#REF!</v>
      </c>
      <c r="D21" s="10" t="e">
        <f>IF('1'!G21&lt;&gt;"",'1'!G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1" s="10" t="e">
        <f>IF('1'!H21&lt;&gt;"",'1'!H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1" s="10" t="e">
        <f>IF('1'!I21&lt;&gt;"",'1'!I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1" s="10" t="e">
        <f>IF('1'!J21&lt;&gt;"",'1'!J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1" s="10" t="e">
        <f>IF('1'!K21&lt;&gt;"",'1'!K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1" s="10" t="e">
        <f>IF('1'!L21&lt;&gt;"",'1'!L21,0)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1" s="2"/>
      <c r="K21" s="4"/>
      <c r="L21" s="13"/>
      <c r="M21" s="4"/>
      <c r="N21" s="4"/>
      <c r="O21" s="13"/>
      <c r="P21" s="4"/>
      <c r="Q21" s="36"/>
      <c r="R21" s="37"/>
      <c r="S21" s="35"/>
      <c r="T21" s="35"/>
      <c r="U21" s="35"/>
      <c r="V21" s="35"/>
      <c r="W21" s="35"/>
    </row>
    <row r="22" spans="1:24" s="30" customFormat="1" ht="11.85" customHeight="1">
      <c r="A22" s="2">
        <v>15</v>
      </c>
      <c r="B22" s="14" t="e">
        <f>IF(#REF!&lt;&gt;0,#REF!,"")</f>
        <v>#REF!</v>
      </c>
      <c r="C22" s="14" t="e">
        <f>IF(#REF!&lt;&gt;0,#REF!,"")</f>
        <v>#REF!</v>
      </c>
      <c r="D22" s="10" t="e">
        <f>IF('1'!G22&lt;&gt;"",'1'!G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2" s="10" t="e">
        <f>IF('1'!H22&lt;&gt;"",'1'!H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2" s="10" t="e">
        <f>IF('1'!I22&lt;&gt;"",'1'!I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2" s="10" t="e">
        <f>IF('1'!J22&lt;&gt;"",'1'!J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2" s="10" t="e">
        <f>IF('1'!K22&lt;&gt;"",'1'!K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2" s="10" t="e">
        <f>IF('1'!L22&lt;&gt;"",'1'!L22,0)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2" s="2"/>
      <c r="K22" s="4"/>
      <c r="L22" s="13"/>
      <c r="M22" s="4"/>
      <c r="N22" s="4"/>
      <c r="O22" s="13"/>
      <c r="P22" s="4"/>
      <c r="Q22" s="36"/>
      <c r="R22" s="37"/>
      <c r="S22" s="35"/>
      <c r="T22" s="35"/>
      <c r="U22" s="35"/>
      <c r="V22" s="35"/>
      <c r="W22" s="35"/>
    </row>
    <row r="23" spans="1:24" s="30" customFormat="1" ht="11.85" customHeight="1">
      <c r="A23" s="2">
        <v>16</v>
      </c>
      <c r="B23" s="14" t="e">
        <f>IF(#REF!&lt;&gt;0,#REF!,"")</f>
        <v>#REF!</v>
      </c>
      <c r="C23" s="14" t="e">
        <f>IF(#REF!&lt;&gt;0,#REF!,"")</f>
        <v>#REF!</v>
      </c>
      <c r="D23" s="10" t="e">
        <f>IF('1'!G23&lt;&gt;"",'1'!G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3" s="10" t="e">
        <f>IF('1'!H23&lt;&gt;"",'1'!H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3" s="10" t="e">
        <f>IF('1'!I23&lt;&gt;"",'1'!I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3" s="10" t="e">
        <f>IF('1'!J23&lt;&gt;"",'1'!J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3" s="10" t="e">
        <f>IF('1'!K23&lt;&gt;"",'1'!K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3" s="10" t="e">
        <f>IF('1'!L23&lt;&gt;"",'1'!L23,0)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3" s="2"/>
      <c r="K23" s="4"/>
      <c r="L23" s="13"/>
      <c r="M23" s="4"/>
      <c r="N23" s="4"/>
      <c r="O23" s="13"/>
      <c r="P23" s="4"/>
      <c r="Q23" s="4"/>
      <c r="R23" s="32"/>
      <c r="S23" s="3"/>
      <c r="T23" s="3"/>
      <c r="U23" s="3"/>
      <c r="V23" s="3"/>
      <c r="W23" s="3"/>
    </row>
    <row r="24" spans="1:24" s="30" customFormat="1" ht="11.85" customHeight="1">
      <c r="A24" s="2">
        <v>17</v>
      </c>
      <c r="B24" s="14" t="e">
        <f>IF(#REF!&lt;&gt;0,#REF!,"")</f>
        <v>#REF!</v>
      </c>
      <c r="C24" s="14" t="e">
        <f>IF(#REF!&lt;&gt;0,#REF!,"")</f>
        <v>#REF!</v>
      </c>
      <c r="D24" s="10" t="e">
        <f>IF('1'!G43&lt;&gt;"",'1'!G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4" s="10" t="e">
        <f>IF('1'!H43&lt;&gt;"",'1'!H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4" s="10" t="e">
        <f>IF('1'!I43&lt;&gt;"",'1'!I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4" s="10" t="e">
        <f>IF('1'!J43&lt;&gt;"",'1'!J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4" s="10" t="e">
        <f>IF('1'!K43&lt;&gt;"",'1'!K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4" s="10" t="e">
        <f>IF('1'!L43&lt;&gt;"",'1'!L43,0)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4" s="2"/>
      <c r="K24" s="4"/>
      <c r="L24" s="13"/>
      <c r="M24" s="4"/>
      <c r="N24" s="4"/>
      <c r="O24" s="13"/>
      <c r="P24" s="4"/>
      <c r="Q24" s="4"/>
      <c r="R24" s="32"/>
      <c r="S24" s="3"/>
      <c r="T24" s="3"/>
      <c r="U24" s="3"/>
      <c r="V24" s="3"/>
      <c r="W24" s="3"/>
    </row>
    <row r="25" spans="1:24" s="30" customFormat="1" ht="11.85" customHeight="1">
      <c r="A25" s="2">
        <v>18</v>
      </c>
      <c r="B25" s="14" t="e">
        <f>IF(#REF!&lt;&gt;0,#REF!,"")</f>
        <v>#REF!</v>
      </c>
      <c r="C25" s="14" t="e">
        <f>IF(#REF!&lt;&gt;0,#REF!,"")</f>
        <v>#REF!</v>
      </c>
      <c r="D25" s="10" t="e">
        <f>IF('1'!G44&lt;&gt;"",'1'!G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5" s="10" t="e">
        <f>IF('1'!H44&lt;&gt;"",'1'!H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5" s="10" t="e">
        <f>IF('1'!I44&lt;&gt;"",'1'!I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5" s="10" t="e">
        <f>IF('1'!J44&lt;&gt;"",'1'!J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5" s="10" t="e">
        <f>IF('1'!K44&lt;&gt;"",'1'!K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5" s="10" t="e">
        <f>IF('1'!L44&lt;&gt;"",'1'!L44,0)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5" s="2"/>
      <c r="K25" s="4"/>
      <c r="L25" s="13"/>
      <c r="M25" s="4"/>
      <c r="N25" s="4"/>
      <c r="O25" s="13"/>
      <c r="P25" s="4"/>
      <c r="Q25" s="4"/>
      <c r="R25" s="32"/>
      <c r="S25" s="3"/>
      <c r="T25" s="3"/>
      <c r="U25" s="3"/>
      <c r="V25" s="3"/>
      <c r="W25" s="3"/>
    </row>
    <row r="26" spans="1:24" s="30" customFormat="1" ht="11.85" customHeight="1">
      <c r="A26" s="2">
        <v>19</v>
      </c>
      <c r="B26" s="14" t="e">
        <f>IF(#REF!&lt;&gt;0,#REF!,"")</f>
        <v>#REF!</v>
      </c>
      <c r="C26" s="14" t="e">
        <f>IF(#REF!&lt;&gt;0,#REF!,"")</f>
        <v>#REF!</v>
      </c>
      <c r="D26" s="10" t="e">
        <f>IF('1'!G45&lt;&gt;"",'1'!G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6" s="10" t="e">
        <f>IF('1'!H45&lt;&gt;"",'1'!H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6" s="10" t="e">
        <f>IF('1'!I45&lt;&gt;"",'1'!I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6" s="10" t="e">
        <f>IF('1'!J45&lt;&gt;"",'1'!J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6" s="10" t="e">
        <f>IF('1'!K45&lt;&gt;"",'1'!K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6" s="10" t="e">
        <f>IF('1'!L45&lt;&gt;"",'1'!L45,0)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6" s="2"/>
      <c r="K26" s="4"/>
      <c r="L26" s="13"/>
      <c r="M26" s="4"/>
      <c r="N26" s="4"/>
      <c r="O26" s="13"/>
      <c r="P26" s="4"/>
      <c r="Q26" s="4"/>
      <c r="R26" s="32"/>
      <c r="S26" s="3"/>
      <c r="T26" s="3"/>
      <c r="U26" s="3"/>
      <c r="V26" s="3"/>
      <c r="W26" s="3"/>
    </row>
    <row r="27" spans="1:24" s="30" customFormat="1" ht="11.85" customHeight="1">
      <c r="A27" s="2">
        <v>20</v>
      </c>
      <c r="B27" s="14" t="e">
        <f>IF(#REF!&lt;&gt;0,#REF!,"")</f>
        <v>#REF!</v>
      </c>
      <c r="C27" s="14" t="e">
        <f>IF(#REF!&lt;&gt;0,#REF!,"")</f>
        <v>#REF!</v>
      </c>
      <c r="D27" s="10" t="e">
        <f>IF('1'!G46&lt;&gt;"",'1'!G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7" s="10" t="e">
        <f>IF('1'!H46&lt;&gt;"",'1'!H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7" s="10" t="e">
        <f>IF('1'!I46&lt;&gt;"",'1'!I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7" s="10" t="e">
        <f>IF('1'!J46&lt;&gt;"",'1'!J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7" s="10" t="e">
        <f>IF('1'!K46&lt;&gt;"",'1'!K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7" s="10" t="e">
        <f>IF('1'!L46&lt;&gt;"",'1'!L46,0)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7" s="2"/>
      <c r="K27" s="4"/>
      <c r="L27" s="13"/>
      <c r="M27" s="4"/>
      <c r="N27" s="4"/>
      <c r="O27" s="13"/>
      <c r="P27" s="4"/>
      <c r="Q27" s="4"/>
      <c r="R27" s="34"/>
      <c r="S27" s="35"/>
      <c r="T27" s="35"/>
      <c r="U27" s="35"/>
      <c r="V27" s="35"/>
      <c r="W27" s="35"/>
      <c r="X27" s="50"/>
    </row>
    <row r="28" spans="1:24" s="30" customFormat="1" ht="11.85" customHeight="1">
      <c r="A28" s="2">
        <v>21</v>
      </c>
      <c r="B28" s="14" t="e">
        <f>IF(#REF!&lt;&gt;0,#REF!,"")</f>
        <v>#REF!</v>
      </c>
      <c r="C28" s="14" t="e">
        <f>IF(#REF!&lt;&gt;0,#REF!,"")</f>
        <v>#REF!</v>
      </c>
      <c r="D28" s="10" t="e">
        <f>IF('1'!G47&lt;&gt;"",'1'!G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E28" s="10" t="e">
        <f>IF('1'!H47&lt;&gt;"",'1'!H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F28" s="10" t="e">
        <f>IF('1'!I47&lt;&gt;"",'1'!I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G28" s="10" t="e">
        <f>IF('1'!J47&lt;&gt;"",'1'!J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H28" s="10" t="e">
        <f>IF('1'!K47&lt;&gt;"",'1'!K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I28" s="10" t="e">
        <f>IF('1'!L47&lt;&gt;"",'1'!L47,0)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+IF(#REF!&lt;&gt;"",#REF!,0)</f>
        <v>#REF!</v>
      </c>
      <c r="J28" s="2"/>
      <c r="K28" s="4"/>
      <c r="L28" s="13"/>
      <c r="M28" s="4"/>
      <c r="N28" s="4"/>
      <c r="O28" s="13"/>
      <c r="P28" s="4"/>
      <c r="Q28" s="4"/>
      <c r="R28" s="34"/>
      <c r="S28" s="35"/>
      <c r="T28" s="35"/>
      <c r="U28" s="35"/>
      <c r="V28" s="35"/>
      <c r="W28" s="35"/>
      <c r="X28" s="50"/>
    </row>
    <row r="29" spans="1:24" s="48" customFormat="1" ht="12">
      <c r="A29" s="528" t="s">
        <v>30</v>
      </c>
      <c r="B29" s="529"/>
      <c r="C29" s="530"/>
      <c r="D29" s="44" t="e">
        <f t="shared" ref="D29:I29" si="0">SUM(D8:D27)</f>
        <v>#REF!</v>
      </c>
      <c r="E29" s="44" t="e">
        <f t="shared" si="0"/>
        <v>#REF!</v>
      </c>
      <c r="F29" s="44" t="e">
        <f t="shared" si="0"/>
        <v>#REF!</v>
      </c>
      <c r="G29" s="44" t="e">
        <f t="shared" si="0"/>
        <v>#REF!</v>
      </c>
      <c r="H29" s="44" t="e">
        <f t="shared" si="0"/>
        <v>#REF!</v>
      </c>
      <c r="I29" s="44" t="e">
        <f t="shared" si="0"/>
        <v>#REF!</v>
      </c>
      <c r="J29" s="45"/>
      <c r="K29" s="45"/>
      <c r="L29" s="45"/>
      <c r="M29" s="46"/>
      <c r="N29" s="45"/>
      <c r="O29" s="45"/>
      <c r="P29" s="47"/>
      <c r="Q29" s="45"/>
      <c r="R29" s="43"/>
      <c r="S29" s="45"/>
      <c r="T29" s="45"/>
      <c r="U29" s="45"/>
      <c r="V29" s="45"/>
      <c r="W29" s="45"/>
    </row>
    <row r="30" spans="1:24" ht="12">
      <c r="Q30" s="7"/>
      <c r="R30" s="7"/>
      <c r="S30" s="7"/>
      <c r="T30" s="7"/>
      <c r="U30" s="5"/>
    </row>
    <row r="31" spans="1:24" ht="11.65" customHeight="1">
      <c r="A31" s="20" t="s">
        <v>26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12"/>
      <c r="R31" s="12"/>
      <c r="S31" s="12"/>
      <c r="T31" s="12"/>
      <c r="U31" s="5"/>
      <c r="V31" s="5"/>
      <c r="W31" s="5"/>
    </row>
    <row r="32" spans="1:24" ht="11.65" customHeight="1">
      <c r="A32" s="20" t="s">
        <v>28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</row>
    <row r="33" spans="1:18" ht="11.65" customHeight="1">
      <c r="A33" s="20" t="s">
        <v>27</v>
      </c>
      <c r="Q33" s="11"/>
      <c r="R33" s="11"/>
    </row>
    <row r="34" spans="1:18" ht="11.65" customHeight="1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</row>
    <row r="35" spans="1:18" ht="11.65" customHeight="1">
      <c r="A35" s="21" t="s">
        <v>29</v>
      </c>
      <c r="B35" s="11"/>
      <c r="C35" s="11"/>
      <c r="D35" s="11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1"/>
    </row>
    <row r="36" spans="1:18" ht="11.65" customHeight="1">
      <c r="B36" s="11"/>
      <c r="C36" s="11"/>
      <c r="D36" s="11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1"/>
    </row>
    <row r="37" spans="1:18" ht="11.65" customHeight="1">
      <c r="A37" s="28" t="s">
        <v>34</v>
      </c>
      <c r="B37" s="11"/>
      <c r="C37" s="11"/>
      <c r="D37" s="11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5"/>
    </row>
    <row r="38" spans="1:18" ht="11.65" customHeight="1">
      <c r="E38" s="5"/>
      <c r="F38" s="5"/>
      <c r="G38" s="5"/>
      <c r="H38" s="8"/>
      <c r="I38" s="16"/>
      <c r="J38" s="17"/>
      <c r="K38" s="9"/>
      <c r="L38" s="9"/>
      <c r="M38" s="18"/>
      <c r="N38" s="18"/>
      <c r="O38" s="5"/>
      <c r="P38" s="5"/>
      <c r="Q38" s="5"/>
    </row>
    <row r="39" spans="1:18" ht="11.65" customHeight="1">
      <c r="E39" s="5"/>
      <c r="F39" s="19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8" ht="11.65" customHeight="1">
      <c r="A40" s="27" t="s">
        <v>35</v>
      </c>
    </row>
    <row r="41" spans="1:18" ht="11.65" customHeight="1">
      <c r="A41" s="27" t="s">
        <v>36</v>
      </c>
    </row>
    <row r="42" spans="1:18" ht="11.65" customHeight="1"/>
    <row r="43" spans="1:18" ht="11.65" customHeight="1"/>
    <row r="44" spans="1:18" ht="11.65" customHeight="1"/>
    <row r="45" spans="1:18" ht="11.65" customHeight="1"/>
    <row r="46" spans="1:18" ht="11.65" customHeight="1"/>
    <row r="47" spans="1:18" ht="11.65" customHeight="1"/>
    <row r="48" spans="1:18" ht="11.65" customHeight="1"/>
  </sheetData>
  <protectedRanges>
    <protectedRange sqref="R30:S30 Q8:Q28" name="Диапазон1"/>
    <protectedRange sqref="K38:N38 J8:J28" name="Диапазон1_2"/>
    <protectedRange sqref="Q30 N27:N28 P8:P28 M8:M29" name="Диапазон1_2_1_3"/>
    <protectedRange sqref="T30 K8:K28 N8:N26" name="Диапазон1_2_1_6"/>
    <protectedRange sqref="O31:P31 O8:O28 L8:L28" name="Диапазон1_2_1"/>
  </protectedRanges>
  <mergeCells count="28">
    <mergeCell ref="A1:S1"/>
    <mergeCell ref="A3:S3"/>
    <mergeCell ref="A4:A6"/>
    <mergeCell ref="B4:B6"/>
    <mergeCell ref="C4:C6"/>
    <mergeCell ref="J4:M4"/>
    <mergeCell ref="N4:P4"/>
    <mergeCell ref="Q4:Q6"/>
    <mergeCell ref="P5:P6"/>
    <mergeCell ref="R5:R6"/>
    <mergeCell ref="A2:Q2"/>
    <mergeCell ref="V4:V6"/>
    <mergeCell ref="W4:W6"/>
    <mergeCell ref="D5:E5"/>
    <mergeCell ref="F5:G5"/>
    <mergeCell ref="H5:I5"/>
    <mergeCell ref="J5:J6"/>
    <mergeCell ref="K5:K6"/>
    <mergeCell ref="D4:I4"/>
    <mergeCell ref="U5:U6"/>
    <mergeCell ref="A29:C29"/>
    <mergeCell ref="S5:S6"/>
    <mergeCell ref="T5:T6"/>
    <mergeCell ref="R4:U4"/>
    <mergeCell ref="M5:M6"/>
    <mergeCell ref="N5:N6"/>
    <mergeCell ref="O5:O6"/>
    <mergeCell ref="L5:L6"/>
  </mergeCells>
  <phoneticPr fontId="2" type="noConversion"/>
  <pageMargins left="0.39370078740157483" right="0.39370078740157483" top="0.78740157480314965" bottom="0.78740157480314965" header="0" footer="0"/>
  <pageSetup paperSize="9" scale="84" orientation="landscape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Лист38">
    <tabColor rgb="FF00FF00"/>
    <pageSetUpPr fitToPage="1"/>
  </sheetPr>
  <dimension ref="A1:AC76"/>
  <sheetViews>
    <sheetView showWhiteSpace="0" view="pageBreakPreview" topLeftCell="A6" zoomScale="120" zoomScaleSheetLayoutView="120" zoomScalePageLayoutView="110" workbookViewId="0">
      <selection activeCell="G28" sqref="G28"/>
    </sheetView>
  </sheetViews>
  <sheetFormatPr defaultColWidth="0.140625" defaultRowHeight="11.25"/>
  <cols>
    <col min="1" max="1" width="3.7109375" style="27" customWidth="1"/>
    <col min="2" max="2" width="11.7109375" style="27" customWidth="1"/>
    <col min="3" max="3" width="5.85546875" style="27" customWidth="1"/>
    <col min="4" max="12" width="7.5703125" style="27" customWidth="1"/>
    <col min="13" max="13" width="49" style="27" customWidth="1"/>
    <col min="14" max="14" width="6.140625" style="27" hidden="1" customWidth="1"/>
    <col min="15" max="15" width="6.5703125" style="27" hidden="1" customWidth="1"/>
    <col min="16" max="16" width="6.85546875" style="27" hidden="1" customWidth="1"/>
    <col min="17" max="17" width="7" style="27" hidden="1" customWidth="1"/>
    <col min="18" max="18" width="9.7109375" style="27" hidden="1" customWidth="1"/>
    <col min="19" max="19" width="13.28515625" style="27" hidden="1" customWidth="1"/>
    <col min="20" max="20" width="0.140625" style="27"/>
    <col min="21" max="29" width="2.42578125" style="27" customWidth="1"/>
    <col min="30" max="16384" width="0.140625" style="27"/>
  </cols>
  <sheetData>
    <row r="1" spans="1:29" ht="18.75">
      <c r="A1" s="511" t="s">
        <v>32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</row>
    <row r="2" spans="1:29" ht="18.75">
      <c r="A2" s="511" t="s">
        <v>53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</row>
    <row r="3" spans="1:29" ht="14.1" customHeight="1">
      <c r="A3" s="538">
        <f>'1'!A3:Y3</f>
        <v>45444</v>
      </c>
      <c r="B3" s="538"/>
      <c r="C3" s="538"/>
      <c r="D3" s="538"/>
      <c r="E3" s="538"/>
      <c r="F3" s="538"/>
      <c r="G3" s="538"/>
      <c r="H3" s="538"/>
      <c r="I3" s="538"/>
      <c r="J3" s="538"/>
      <c r="K3" s="538"/>
      <c r="L3" s="538"/>
      <c r="M3" s="538"/>
      <c r="N3" s="538"/>
      <c r="O3" s="538"/>
    </row>
    <row r="4" spans="1:29" s="30" customFormat="1" ht="36" customHeight="1">
      <c r="A4" s="508" t="s">
        <v>13</v>
      </c>
      <c r="B4" s="508" t="s">
        <v>3</v>
      </c>
      <c r="C4" s="508" t="s">
        <v>4</v>
      </c>
      <c r="D4" s="519"/>
      <c r="E4" s="519"/>
      <c r="F4" s="519"/>
      <c r="G4" s="519"/>
      <c r="H4" s="519"/>
      <c r="I4" s="519"/>
      <c r="J4" s="519"/>
      <c r="K4" s="519"/>
      <c r="L4" s="505"/>
      <c r="M4" s="508" t="s">
        <v>21</v>
      </c>
      <c r="N4" s="525" t="s">
        <v>12</v>
      </c>
      <c r="O4" s="526"/>
      <c r="P4" s="526"/>
      <c r="Q4" s="527"/>
      <c r="R4" s="522" t="s">
        <v>19</v>
      </c>
      <c r="S4" s="522" t="s">
        <v>20</v>
      </c>
    </row>
    <row r="5" spans="1:29" s="30" customFormat="1" ht="24.75" customHeight="1">
      <c r="A5" s="509"/>
      <c r="B5" s="509"/>
      <c r="C5" s="509"/>
      <c r="D5" s="504" t="s">
        <v>6</v>
      </c>
      <c r="E5" s="505"/>
      <c r="F5" s="504" t="s">
        <v>25</v>
      </c>
      <c r="G5" s="505"/>
      <c r="H5" s="504" t="s">
        <v>0</v>
      </c>
      <c r="I5" s="505"/>
      <c r="J5" s="506" t="s">
        <v>2052</v>
      </c>
      <c r="K5" s="520" t="s">
        <v>2043</v>
      </c>
      <c r="L5" s="521"/>
      <c r="M5" s="509"/>
      <c r="N5" s="514" t="s">
        <v>7</v>
      </c>
      <c r="O5" s="514" t="s">
        <v>8</v>
      </c>
      <c r="P5" s="514" t="s">
        <v>9</v>
      </c>
      <c r="Q5" s="514" t="s">
        <v>18</v>
      </c>
      <c r="R5" s="523"/>
      <c r="S5" s="523"/>
    </row>
    <row r="6" spans="1:29" s="30" customFormat="1" ht="39" customHeight="1">
      <c r="A6" s="510"/>
      <c r="B6" s="510"/>
      <c r="C6" s="510"/>
      <c r="D6" s="388" t="s">
        <v>10</v>
      </c>
      <c r="E6" s="388" t="s">
        <v>11</v>
      </c>
      <c r="F6" s="388" t="s">
        <v>10</v>
      </c>
      <c r="G6" s="388" t="s">
        <v>11</v>
      </c>
      <c r="H6" s="388" t="s">
        <v>10</v>
      </c>
      <c r="I6" s="388" t="s">
        <v>11</v>
      </c>
      <c r="J6" s="507"/>
      <c r="K6" s="388" t="s">
        <v>2044</v>
      </c>
      <c r="L6" s="388" t="s">
        <v>2045</v>
      </c>
      <c r="M6" s="510"/>
      <c r="N6" s="515"/>
      <c r="O6" s="515"/>
      <c r="P6" s="515"/>
      <c r="Q6" s="515"/>
      <c r="R6" s="524"/>
      <c r="S6" s="524"/>
    </row>
    <row r="7" spans="1:29" s="31" customFormat="1" ht="12">
      <c r="A7" s="389">
        <v>1</v>
      </c>
      <c r="B7" s="389">
        <v>2</v>
      </c>
      <c r="C7" s="389">
        <v>3</v>
      </c>
      <c r="D7" s="389">
        <v>7</v>
      </c>
      <c r="E7" s="389">
        <v>8</v>
      </c>
      <c r="F7" s="389">
        <v>9</v>
      </c>
      <c r="G7" s="389">
        <v>10</v>
      </c>
      <c r="H7" s="389">
        <v>11</v>
      </c>
      <c r="I7" s="389">
        <v>12</v>
      </c>
      <c r="J7" s="389">
        <v>13</v>
      </c>
      <c r="K7" s="389">
        <v>14</v>
      </c>
      <c r="L7" s="389">
        <v>15</v>
      </c>
      <c r="M7" s="389">
        <v>23</v>
      </c>
      <c r="N7" s="387">
        <v>21</v>
      </c>
      <c r="O7" s="389">
        <v>22</v>
      </c>
      <c r="P7" s="389">
        <v>23</v>
      </c>
      <c r="Q7" s="389">
        <v>24</v>
      </c>
      <c r="R7" s="389">
        <v>25</v>
      </c>
      <c r="S7" s="389">
        <v>26</v>
      </c>
    </row>
    <row r="8" spans="1:29" s="30" customFormat="1" ht="12">
      <c r="A8" s="325">
        <v>1</v>
      </c>
      <c r="B8" s="325" t="str">
        <f>IF(АП!B1&lt;&gt;0,АП!B1,"")</f>
        <v>РДМ-24</v>
      </c>
      <c r="C8" s="325">
        <f>IF(АП!C1&lt;&gt;0,АП!C1,"")</f>
        <v>110</v>
      </c>
      <c r="D8" s="326">
        <f>IF(U8=0,"",U8)</f>
        <v>80.499999999999986</v>
      </c>
      <c r="E8" s="326">
        <f t="shared" ref="E8:L8" si="0">IF(V8=0,"",V8)</f>
        <v>80.499999999999986</v>
      </c>
      <c r="F8" s="392">
        <f t="shared" si="0"/>
        <v>71</v>
      </c>
      <c r="G8" s="392">
        <f t="shared" si="0"/>
        <v>71</v>
      </c>
      <c r="H8" s="392" t="str">
        <f t="shared" si="0"/>
        <v/>
      </c>
      <c r="I8" s="392" t="str">
        <f t="shared" si="0"/>
        <v/>
      </c>
      <c r="J8" s="392">
        <f t="shared" si="0"/>
        <v>7</v>
      </c>
      <c r="K8" s="392">
        <f t="shared" si="0"/>
        <v>2</v>
      </c>
      <c r="L8" s="392" t="str">
        <f t="shared" si="0"/>
        <v/>
      </c>
      <c r="M8" s="130"/>
      <c r="N8" s="32"/>
      <c r="O8" s="3"/>
      <c r="P8" s="3"/>
      <c r="Q8" s="3"/>
      <c r="R8" s="3"/>
      <c r="S8" s="3"/>
      <c r="U8" s="30">
        <f>SUM('1'!G8,'2'!G8,'3'!G8,'4'!G8,'5'!G8,'6'!G8,'7'!G8,'8'!G8,'9'!G8,'10'!G8,'11'!G8,'12'!G8,'13'!G8,'14'!G8,'15'!G8,'16'!G8,'17'!G8,'18'!G8,'19'!G8,'20'!G8,'21'!G8,'22'!G8,'23'!G8,'24'!G8,'25'!G8,'26'!G8,'27'!G8,'28'!G8,'29'!G8,'30'!G8,'31'!G8)</f>
        <v>80.499999999999986</v>
      </c>
      <c r="V8" s="30">
        <f>SUM('1'!H8,'2'!H8,'3'!H8,'4'!H8,'5'!H8,'6'!H8,'7'!H8,'8'!H8,'9'!H8,'10'!H8,'11'!H8,'12'!H8,'13'!H8,'14'!H8,'15'!H8,'16'!H8,'17'!H8,'18'!H8,'19'!H8,'20'!H8,'21'!H8,'22'!H8,'23'!H8,'24'!H8,'25'!H8,'26'!H8,'27'!H8,'28'!H8,'29'!H8,'30'!H8,'31'!H8)</f>
        <v>80.499999999999986</v>
      </c>
      <c r="W8" s="30">
        <f>SUM('1'!I8,'2'!I8,'3'!I8,'4'!I8,'5'!I8,'6'!I8,'7'!I8,'8'!I8,'9'!I8,'10'!I8,'11'!I8,'12'!I8,'13'!I8,'14'!I8,'15'!I8,'16'!I8,'17'!I8,'18'!I8,'19'!I8,'20'!I8,'21'!I8,'22'!I8,'23'!I8,'24'!I8,'25'!I8,'26'!I8,'27'!I8,'28'!I8,'29'!I8,'30'!I8,'31'!I8)</f>
        <v>71</v>
      </c>
      <c r="X8" s="30">
        <f>SUM('1'!J8,'2'!J8,'3'!J8,'4'!J8,'5'!J8,'6'!J8,'7'!J8,'8'!J8,'9'!J8,'10'!J8,'11'!J8,'12'!J8,'13'!J8,'14'!J8,'15'!J8,'16'!J8,'17'!J8,'18'!J8,'19'!J8,'20'!J8,'21'!J8,'22'!J8,'23'!J8,'24'!J8,'25'!J8,'26'!J8,'27'!J8,'28'!J8,'29'!J8,'30'!J8,'31'!J8)</f>
        <v>71</v>
      </c>
      <c r="Y8" s="30">
        <f>SUM('1'!K8,'2'!K8,'3'!K8,'4'!K8,'5'!K8,'6'!K8,'7'!K8,'8'!K8,'9'!K8,'10'!K8,'11'!K8,'12'!K8,'13'!K8,'14'!K8,'15'!K8,'16'!K8,'17'!K8,'18'!K8,'19'!K8,'20'!K8,'21'!K8,'22'!K8,'23'!K8,'24'!K8,'25'!K8,'26'!K8,'27'!K8,'28'!K8,'29'!K8,'30'!K8,'31'!K8)</f>
        <v>0</v>
      </c>
      <c r="Z8" s="30">
        <f>SUM('1'!L8,'2'!L8,'3'!L8,'4'!L8,'5'!L8,'6'!L8,'7'!L8,'8'!L8,'9'!L8,'10'!L8,'11'!L8,'12'!L8,'13'!L8,'14'!L8,'15'!L8,'16'!L8,'17'!L8,'18'!L8,'19'!L8,'20'!L8,'21'!L8,'22'!L8,'23'!L8,'24'!L8,'25'!L8,'26'!L8,'27'!L8,'28'!L8,'29'!L8,'30'!L8,'31'!L8)</f>
        <v>0</v>
      </c>
      <c r="AA8" s="30">
        <f>SUM('1'!M8,'2'!M8,'3'!M8,'4'!M8,'5'!M8,'6'!M8,'7'!M8,'8'!M8,'9'!M8,'10'!M8,'11'!M8,'12'!M8,'13'!M8,'14'!M8,'15'!M8,'16'!M8,'17'!M8,'18'!M8,'19'!M8,'20'!M8,'21'!M8,'22'!M8,'23'!M8,'24'!M8,'25'!M8,'26'!M8,'27'!M8,'28'!M8,'29'!M8,'30'!M8,'31'!M8)</f>
        <v>7</v>
      </c>
      <c r="AB8" s="30">
        <f>SUM('1'!N8,'2'!N8,'3'!N8,'4'!N8,'5'!N8,'6'!N8,'7'!N8,'8'!N8,'9'!N8,'10'!N8,'11'!N8,'12'!N8,'13'!N8,'14'!N8,'15'!N8,'16'!N8,'17'!N8,'18'!N8,'19'!N8,'20'!N8,'21'!N8,'22'!N8,'23'!N8,'24'!N8,'25'!N8,'26'!N8,'27'!N8,'28'!N8,'29'!N8,'30'!N8,'31'!N8)</f>
        <v>2</v>
      </c>
      <c r="AC8" s="30">
        <f>SUM('1'!O8,'2'!O8,'3'!O8,'4'!O8,'5'!O8,'6'!O8,'7'!O8,'8'!O8,'9'!O8,'10'!O8,'11'!O8,'12'!O8,'13'!O8,'14'!O8,'15'!O8,'16'!O8,'17'!O8,'18'!O8,'19'!O8,'20'!O8,'21'!O8,'22'!O8,'23'!O8,'24'!O8,'25'!O8,'26'!O8,'27'!O8,'28'!O8,'29'!O8,'30'!O8,'31'!O8)</f>
        <v>0</v>
      </c>
    </row>
    <row r="9" spans="1:29" s="30" customFormat="1" ht="12">
      <c r="A9" s="325">
        <v>2</v>
      </c>
      <c r="B9" s="325" t="str">
        <f>IF(АП!B2&lt;&gt;0,АП!B2,"")</f>
        <v>РДМ-24</v>
      </c>
      <c r="C9" s="325">
        <f>IF(АП!C2&lt;&gt;0,АП!C2,"")</f>
        <v>232</v>
      </c>
      <c r="D9" s="326">
        <f t="shared" ref="D9:D47" si="1">IF(U9=0,"",U9)</f>
        <v>85.199999999999989</v>
      </c>
      <c r="E9" s="326">
        <f t="shared" ref="E9:E47" si="2">IF(V9=0,"",V9)</f>
        <v>85.199999999999989</v>
      </c>
      <c r="F9" s="392">
        <f t="shared" ref="F9:F47" si="3">IF(W9=0,"",W9)</f>
        <v>92</v>
      </c>
      <c r="G9" s="392">
        <f t="shared" ref="G9:G47" si="4">IF(X9=0,"",X9)</f>
        <v>92</v>
      </c>
      <c r="H9" s="392" t="str">
        <f t="shared" ref="H9:H47" si="5">IF(Y9=0,"",Y9)</f>
        <v/>
      </c>
      <c r="I9" s="392" t="str">
        <f t="shared" ref="I9:I47" si="6">IF(Z9=0,"",Z9)</f>
        <v/>
      </c>
      <c r="J9" s="392">
        <f t="shared" ref="J9:J47" si="7">IF(AA9=0,"",AA9)</f>
        <v>22</v>
      </c>
      <c r="K9" s="392">
        <f t="shared" ref="K9:K47" si="8">IF(AB9=0,"",AB9)</f>
        <v>1</v>
      </c>
      <c r="L9" s="392" t="str">
        <f t="shared" ref="L9:L47" si="9">IF(AC9=0,"",AC9)</f>
        <v/>
      </c>
      <c r="M9" s="130"/>
      <c r="N9" s="32"/>
      <c r="O9" s="3"/>
      <c r="P9" s="3"/>
      <c r="Q9" s="3"/>
      <c r="R9" s="3"/>
      <c r="S9" s="3"/>
      <c r="U9" s="30">
        <f>SUM('1'!G9,'2'!G9,'3'!G9,'4'!G9,'5'!G9,'6'!G9,'7'!G9,'8'!G9,'9'!G9,'10'!G9,'11'!G9,'12'!G9,'13'!G9,'14'!G9,'15'!G9,'16'!G9,'17'!G9,'18'!G9,'19'!G9,'20'!G9,'21'!G9,'22'!G9,'23'!G9,'24'!G9,'25'!G9,'26'!G9,'27'!G9,'28'!G9,'29'!G9,'30'!G9,'31'!G9)</f>
        <v>85.199999999999989</v>
      </c>
      <c r="V9" s="30">
        <f>SUM('1'!H9,'2'!H9,'3'!H9,'4'!H9,'5'!H9,'6'!H9,'7'!H9,'8'!H9,'9'!H9,'10'!H9,'11'!H9,'12'!H9,'13'!H9,'14'!H9,'15'!H9,'16'!H9,'17'!H9,'18'!H9,'19'!H9,'20'!H9,'21'!H9,'22'!H9,'23'!H9,'24'!H9,'25'!H9,'26'!H9,'27'!H9,'28'!H9,'29'!H9,'30'!H9,'31'!H9)</f>
        <v>85.199999999999989</v>
      </c>
      <c r="W9" s="30">
        <f>SUM('1'!I9,'2'!I9,'3'!I9,'4'!I9,'5'!I9,'6'!I9,'7'!I9,'8'!I9,'9'!I9,'10'!I9,'11'!I9,'12'!I9,'13'!I9,'14'!I9,'15'!I9,'16'!I9,'17'!I9,'18'!I9,'19'!I9,'20'!I9,'21'!I9,'22'!I9,'23'!I9,'24'!I9,'25'!I9,'26'!I9,'27'!I9,'28'!I9,'29'!I9,'30'!I9,'31'!I9)</f>
        <v>92</v>
      </c>
      <c r="X9" s="30">
        <f>SUM('1'!J9,'2'!J9,'3'!J9,'4'!J9,'5'!J9,'6'!J9,'7'!J9,'8'!J9,'9'!J9,'10'!J9,'11'!J9,'12'!J9,'13'!J9,'14'!J9,'15'!J9,'16'!J9,'17'!J9,'18'!J9,'19'!J9,'20'!J9,'21'!J9,'22'!J9,'23'!J9,'24'!J9,'25'!J9,'26'!J9,'27'!J9,'28'!J9,'29'!J9,'30'!J9,'31'!J9)</f>
        <v>92</v>
      </c>
      <c r="Y9" s="30">
        <f>SUM('1'!K9,'2'!K9,'3'!K9,'4'!K9,'5'!K9,'6'!K9,'7'!K9,'8'!K9,'9'!K9,'10'!K9,'11'!K9,'12'!K9,'13'!K9,'14'!K9,'15'!K9,'16'!K9,'17'!K9,'18'!K9,'19'!K9,'20'!K9,'21'!K9,'22'!K9,'23'!K9,'24'!K9,'25'!K9,'26'!K9,'27'!K9,'28'!K9,'29'!K9,'30'!K9,'31'!K9)</f>
        <v>0</v>
      </c>
      <c r="Z9" s="30">
        <f>SUM('1'!L9,'2'!L9,'3'!L9,'4'!L9,'5'!L9,'6'!L9,'7'!L9,'8'!L9,'9'!L9,'10'!L9,'11'!L9,'12'!L9,'13'!L9,'14'!L9,'15'!L9,'16'!L9,'17'!L9,'18'!L9,'19'!L9,'20'!L9,'21'!L9,'22'!L9,'23'!L9,'24'!L9,'25'!L9,'26'!L9,'27'!L9,'28'!L9,'29'!L9,'30'!L9,'31'!L9)</f>
        <v>0</v>
      </c>
      <c r="AA9" s="30">
        <f>SUM('1'!M9,'2'!M9,'3'!M9,'4'!M9,'5'!M9,'6'!M9,'7'!M9,'8'!M9,'9'!M9,'10'!M9,'11'!M9,'12'!M9,'13'!M9,'14'!M9,'15'!M9,'16'!M9,'17'!M9,'18'!M9,'19'!M9,'20'!M9,'21'!M9,'22'!M9,'23'!M9,'24'!M9,'25'!M9,'26'!M9,'27'!M9,'28'!M9,'29'!M9,'30'!M9,'31'!M9)</f>
        <v>22</v>
      </c>
      <c r="AB9" s="30">
        <f>SUM('1'!N9,'2'!N9,'3'!N9,'4'!N9,'5'!N9,'6'!N9,'7'!N9,'8'!N9,'9'!N9,'10'!N9,'11'!N9,'12'!N9,'13'!N9,'14'!N9,'15'!N9,'16'!N9,'17'!N9,'18'!N9,'19'!N9,'20'!N9,'21'!N9,'22'!N9,'23'!N9,'24'!N9,'25'!N9,'26'!N9,'27'!N9,'28'!N9,'29'!N9,'30'!N9,'31'!N9)</f>
        <v>1</v>
      </c>
      <c r="AC9" s="30">
        <f>SUM('1'!O9,'2'!O9,'3'!O9,'4'!O9,'5'!O9,'6'!O9,'7'!O9,'8'!O9,'9'!O9,'10'!O9,'11'!O9,'12'!O9,'13'!O9,'14'!O9,'15'!O9,'16'!O9,'17'!O9,'18'!O9,'19'!O9,'20'!O9,'21'!O9,'22'!O9,'23'!O9,'24'!O9,'25'!O9,'26'!O9,'27'!O9,'28'!O9,'29'!O9,'30'!O9,'31'!O9)</f>
        <v>0</v>
      </c>
    </row>
    <row r="10" spans="1:29" s="30" customFormat="1" ht="12">
      <c r="A10" s="325">
        <v>3</v>
      </c>
      <c r="B10" s="325" t="str">
        <f>IF(АП!B3&lt;&gt;0,АП!B3,"")</f>
        <v>РДМ-22</v>
      </c>
      <c r="C10" s="325">
        <f>IF(АП!C3&lt;&gt;0,АП!C3,"")</f>
        <v>192</v>
      </c>
      <c r="D10" s="326" t="str">
        <f t="shared" si="1"/>
        <v/>
      </c>
      <c r="E10" s="326" t="str">
        <f t="shared" si="2"/>
        <v/>
      </c>
      <c r="F10" s="392" t="str">
        <f t="shared" si="3"/>
        <v/>
      </c>
      <c r="G10" s="392" t="str">
        <f t="shared" si="4"/>
        <v/>
      </c>
      <c r="H10" s="392" t="str">
        <f t="shared" si="5"/>
        <v/>
      </c>
      <c r="I10" s="392" t="str">
        <f t="shared" si="6"/>
        <v/>
      </c>
      <c r="J10" s="392" t="str">
        <f t="shared" si="7"/>
        <v/>
      </c>
      <c r="K10" s="392" t="str">
        <f t="shared" si="8"/>
        <v/>
      </c>
      <c r="L10" s="392" t="str">
        <f t="shared" si="9"/>
        <v/>
      </c>
      <c r="M10" s="130"/>
      <c r="N10" s="32"/>
      <c r="O10" s="3"/>
      <c r="P10" s="3"/>
      <c r="Q10" s="3"/>
      <c r="R10" s="3"/>
      <c r="S10" s="3"/>
      <c r="U10" s="30">
        <f>SUM('1'!G10,'2'!G10,'3'!G10,'4'!G10,'5'!G10,'6'!G10,'7'!G10,'8'!G10,'9'!G10,'10'!G10,'11'!G10,'12'!G10,'13'!G10,'14'!G10,'15'!G10,'16'!G10,'17'!G10,'18'!G10,'19'!G10,'20'!G10,'21'!G10,'22'!G10,'23'!G10,'24'!G10,'25'!G10,'26'!G10,'27'!G10,'28'!G10,'29'!G10,'30'!G10,'31'!G10)</f>
        <v>0</v>
      </c>
      <c r="V10" s="30">
        <f>SUM('1'!H10,'2'!H10,'3'!H10,'4'!H10,'5'!H10,'6'!H10,'7'!H10,'8'!H10,'9'!H10,'10'!H10,'11'!H10,'12'!H10,'13'!H10,'14'!H10,'15'!H10,'16'!H10,'17'!H10,'18'!H10,'19'!H10,'20'!H10,'21'!H10,'22'!H10,'23'!H10,'24'!H10,'25'!H10,'26'!H10,'27'!H10,'28'!H10,'29'!H10,'30'!H10,'31'!H10)</f>
        <v>0</v>
      </c>
      <c r="W10" s="30">
        <f>SUM('1'!I10,'2'!I10,'3'!I10,'4'!I10,'5'!I10,'6'!I10,'7'!I10,'8'!I10,'9'!I10,'10'!I10,'11'!I10,'12'!I10,'13'!I10,'14'!I10,'15'!I10,'16'!I10,'17'!I10,'18'!I10,'19'!I10,'20'!I10,'21'!I10,'22'!I10,'23'!I10,'24'!I10,'25'!I10,'26'!I10,'27'!I10,'28'!I10,'29'!I10,'30'!I10,'31'!I10)</f>
        <v>0</v>
      </c>
      <c r="X10" s="30">
        <f>SUM('1'!J10,'2'!J10,'3'!J10,'4'!J10,'5'!J10,'6'!J10,'7'!J10,'8'!J10,'9'!J10,'10'!J10,'11'!J10,'12'!J10,'13'!J10,'14'!J10,'15'!J10,'16'!J10,'17'!J10,'18'!J10,'19'!J10,'20'!J10,'21'!J10,'22'!J10,'23'!J10,'24'!J10,'25'!J10,'26'!J10,'27'!J10,'28'!J10,'29'!J10,'30'!J10,'31'!J10)</f>
        <v>0</v>
      </c>
      <c r="Y10" s="30">
        <f>SUM('1'!K10,'2'!K10,'3'!K10,'4'!K10,'5'!K10,'6'!K10,'7'!K10,'8'!K10,'9'!K10,'10'!K10,'11'!K10,'12'!K10,'13'!K10,'14'!K10,'15'!K10,'16'!K10,'17'!K10,'18'!K10,'19'!K10,'20'!K10,'21'!K10,'22'!K10,'23'!K10,'24'!K10,'25'!K10,'26'!K10,'27'!K10,'28'!K10,'29'!K10,'30'!K10,'31'!K10)</f>
        <v>0</v>
      </c>
      <c r="Z10" s="30">
        <f>SUM('1'!L10,'2'!L10,'3'!L10,'4'!L10,'5'!L10,'6'!L10,'7'!L10,'8'!L10,'9'!L10,'10'!L10,'11'!L10,'12'!L10,'13'!L10,'14'!L10,'15'!L10,'16'!L10,'17'!L10,'18'!L10,'19'!L10,'20'!L10,'21'!L10,'22'!L10,'23'!L10,'24'!L10,'25'!L10,'26'!L10,'27'!L10,'28'!L10,'29'!L10,'30'!L10,'31'!L10)</f>
        <v>0</v>
      </c>
      <c r="AA10" s="30">
        <f>SUM('1'!M10,'2'!M10,'3'!M10,'4'!M10,'5'!M10,'6'!M10,'7'!M10,'8'!M10,'9'!M10,'10'!M10,'11'!M10,'12'!M10,'13'!M10,'14'!M10,'15'!M10,'16'!M10,'17'!M10,'18'!M10,'19'!M10,'20'!M10,'21'!M10,'22'!M10,'23'!M10,'24'!M10,'25'!M10,'26'!M10,'27'!M10,'28'!M10,'29'!M10,'30'!M10,'31'!M10)</f>
        <v>0</v>
      </c>
      <c r="AB10" s="30">
        <f>SUM('1'!N10,'2'!N10,'3'!N10,'4'!N10,'5'!N10,'6'!N10,'7'!N10,'8'!N10,'9'!N10,'10'!N10,'11'!N10,'12'!N10,'13'!N10,'14'!N10,'15'!N10,'16'!N10,'17'!N10,'18'!N10,'19'!N10,'20'!N10,'21'!N10,'22'!N10,'23'!N10,'24'!N10,'25'!N10,'26'!N10,'27'!N10,'28'!N10,'29'!N10,'30'!N10,'31'!N10)</f>
        <v>0</v>
      </c>
      <c r="AC10" s="30">
        <f>SUM('1'!O10,'2'!O10,'3'!O10,'4'!O10,'5'!O10,'6'!O10,'7'!O10,'8'!O10,'9'!O10,'10'!O10,'11'!O10,'12'!O10,'13'!O10,'14'!O10,'15'!O10,'16'!O10,'17'!O10,'18'!O10,'19'!O10,'20'!O10,'21'!O10,'22'!O10,'23'!O10,'24'!O10,'25'!O10,'26'!O10,'27'!O10,'28'!O10,'29'!O10,'30'!O10,'31'!O10)</f>
        <v>0</v>
      </c>
    </row>
    <row r="11" spans="1:29" s="30" customFormat="1" ht="11.1" customHeight="1">
      <c r="A11" s="325">
        <v>4</v>
      </c>
      <c r="B11" s="325" t="str">
        <f>IF(АП!B4&lt;&gt;0,АП!B4,"")</f>
        <v>РДМ-22</v>
      </c>
      <c r="C11" s="325">
        <f>IF(АП!C4&lt;&gt;0,АП!C4,"")</f>
        <v>820</v>
      </c>
      <c r="D11" s="326">
        <f t="shared" si="1"/>
        <v>89.3</v>
      </c>
      <c r="E11" s="326">
        <f t="shared" si="2"/>
        <v>89.3</v>
      </c>
      <c r="F11" s="392">
        <f t="shared" si="3"/>
        <v>48</v>
      </c>
      <c r="G11" s="392">
        <f t="shared" si="4"/>
        <v>48</v>
      </c>
      <c r="H11" s="392" t="str">
        <f t="shared" si="5"/>
        <v/>
      </c>
      <c r="I11" s="392" t="str">
        <f t="shared" si="6"/>
        <v/>
      </c>
      <c r="J11" s="392">
        <f t="shared" si="7"/>
        <v>44</v>
      </c>
      <c r="K11" s="392">
        <f t="shared" si="8"/>
        <v>1</v>
      </c>
      <c r="L11" s="392" t="str">
        <f t="shared" si="9"/>
        <v/>
      </c>
      <c r="M11" s="130"/>
      <c r="N11" s="32"/>
      <c r="O11" s="3"/>
      <c r="P11" s="3"/>
      <c r="Q11" s="3"/>
      <c r="R11" s="3"/>
      <c r="S11" s="3"/>
      <c r="U11" s="30">
        <f>SUM('1'!G11,'2'!G11,'3'!G11,'4'!G11,'5'!G11,'6'!G11,'7'!G11,'8'!G11,'9'!G11,'10'!G11,'11'!G11,'12'!G11,'13'!G11,'14'!G11,'15'!G11,'16'!G11,'17'!G11,'18'!G11,'19'!G11,'20'!G11,'21'!G11,'22'!G11,'23'!G11,'24'!G11,'25'!G11,'26'!G11,'27'!G11,'28'!G11,'29'!G11,'30'!G11,'31'!G11)</f>
        <v>89.3</v>
      </c>
      <c r="V11" s="30">
        <f>SUM('1'!H11,'2'!H11,'3'!H11,'4'!H11,'5'!H11,'6'!H11,'7'!H11,'8'!H11,'9'!H11,'10'!H11,'11'!H11,'12'!H11,'13'!H11,'14'!H11,'15'!H11,'16'!H11,'17'!H11,'18'!H11,'19'!H11,'20'!H11,'21'!H11,'22'!H11,'23'!H11,'24'!H11,'25'!H11,'26'!H11,'27'!H11,'28'!H11,'29'!H11,'30'!H11,'31'!H11)</f>
        <v>89.3</v>
      </c>
      <c r="W11" s="30">
        <f>SUM('1'!I11,'2'!I11,'3'!I11,'4'!I11,'5'!I11,'6'!I11,'7'!I11,'8'!I11,'9'!I11,'10'!I11,'11'!I11,'12'!I11,'13'!I11,'14'!I11,'15'!I11,'16'!I11,'17'!I11,'18'!I11,'19'!I11,'20'!I11,'21'!I11,'22'!I11,'23'!I11,'24'!I11,'25'!I11,'26'!I11,'27'!I11,'28'!I11,'29'!I11,'30'!I11,'31'!I11)</f>
        <v>48</v>
      </c>
      <c r="X11" s="30">
        <f>SUM('1'!J11,'2'!J11,'3'!J11,'4'!J11,'5'!J11,'6'!J11,'7'!J11,'8'!J11,'9'!J11,'10'!J11,'11'!J11,'12'!J11,'13'!J11,'14'!J11,'15'!J11,'16'!J11,'17'!J11,'18'!J11,'19'!J11,'20'!J11,'21'!J11,'22'!J11,'23'!J11,'24'!J11,'25'!J11,'26'!J11,'27'!J11,'28'!J11,'29'!J11,'30'!J11,'31'!J11)</f>
        <v>48</v>
      </c>
      <c r="Y11" s="30">
        <f>SUM('1'!K11,'2'!K11,'3'!K11,'4'!K11,'5'!K11,'6'!K11,'7'!K11,'8'!K11,'9'!K11,'10'!K11,'11'!K11,'12'!K11,'13'!K11,'14'!K11,'15'!K11,'16'!K11,'17'!K11,'18'!K11,'19'!K11,'20'!K11,'21'!K11,'22'!K11,'23'!K11,'24'!K11,'25'!K11,'26'!K11,'27'!K11,'28'!K11,'29'!K11,'30'!K11,'31'!K11)</f>
        <v>0</v>
      </c>
      <c r="Z11" s="30">
        <f>SUM('1'!L11,'2'!L11,'3'!L11,'4'!L11,'5'!L11,'6'!L11,'7'!L11,'8'!L11,'9'!L11,'10'!L11,'11'!L11,'12'!L11,'13'!L11,'14'!L11,'15'!L11,'16'!L11,'17'!L11,'18'!L11,'19'!L11,'20'!L11,'21'!L11,'22'!L11,'23'!L11,'24'!L11,'25'!L11,'26'!L11,'27'!L11,'28'!L11,'29'!L11,'30'!L11,'31'!L11)</f>
        <v>0</v>
      </c>
      <c r="AA11" s="30">
        <f>SUM('1'!M11,'2'!M11,'3'!M11,'4'!M11,'5'!M11,'6'!M11,'7'!M11,'8'!M11,'9'!M11,'10'!M11,'11'!M11,'12'!M11,'13'!M11,'14'!M11,'15'!M11,'16'!M11,'17'!M11,'18'!M11,'19'!M11,'20'!M11,'21'!M11,'22'!M11,'23'!M11,'24'!M11,'25'!M11,'26'!M11,'27'!M11,'28'!M11,'29'!M11,'30'!M11,'31'!M11)</f>
        <v>44</v>
      </c>
      <c r="AB11" s="30">
        <f>SUM('1'!N11,'2'!N11,'3'!N11,'4'!N11,'5'!N11,'6'!N11,'7'!N11,'8'!N11,'9'!N11,'10'!N11,'11'!N11,'12'!N11,'13'!N11,'14'!N11,'15'!N11,'16'!N11,'17'!N11,'18'!N11,'19'!N11,'20'!N11,'21'!N11,'22'!N11,'23'!N11,'24'!N11,'25'!N11,'26'!N11,'27'!N11,'28'!N11,'29'!N11,'30'!N11,'31'!N11)</f>
        <v>1</v>
      </c>
      <c r="AC11" s="30">
        <f>SUM('1'!O11,'2'!O11,'3'!O11,'4'!O11,'5'!O11,'6'!O11,'7'!O11,'8'!O11,'9'!O11,'10'!O11,'11'!O11,'12'!O11,'13'!O11,'14'!O11,'15'!O11,'16'!O11,'17'!O11,'18'!O11,'19'!O11,'20'!O11,'21'!O11,'22'!O11,'23'!O11,'24'!O11,'25'!O11,'26'!O11,'27'!O11,'28'!O11,'29'!O11,'30'!O11,'31'!O11)</f>
        <v>0</v>
      </c>
    </row>
    <row r="12" spans="1:29" s="30" customFormat="1" ht="11.1" customHeight="1">
      <c r="A12" s="325">
        <v>5</v>
      </c>
      <c r="B12" s="325" t="str">
        <f>IF(АП!B5&lt;&gt;0,АП!B5,"")</f>
        <v>РДМ-22</v>
      </c>
      <c r="C12" s="325">
        <f>IF(АП!C5&lt;&gt;0,АП!C5,"")</f>
        <v>1359</v>
      </c>
      <c r="D12" s="326" t="str">
        <f t="shared" si="1"/>
        <v/>
      </c>
      <c r="E12" s="326" t="str">
        <f t="shared" si="2"/>
        <v/>
      </c>
      <c r="F12" s="392" t="str">
        <f t="shared" si="3"/>
        <v/>
      </c>
      <c r="G12" s="392" t="str">
        <f t="shared" si="4"/>
        <v/>
      </c>
      <c r="H12" s="392" t="str">
        <f t="shared" si="5"/>
        <v/>
      </c>
      <c r="I12" s="392" t="str">
        <f t="shared" si="6"/>
        <v/>
      </c>
      <c r="J12" s="392" t="str">
        <f t="shared" si="7"/>
        <v/>
      </c>
      <c r="K12" s="392" t="str">
        <f t="shared" si="8"/>
        <v/>
      </c>
      <c r="L12" s="392" t="str">
        <f t="shared" si="9"/>
        <v/>
      </c>
      <c r="M12" s="130"/>
      <c r="N12" s="34"/>
      <c r="O12" s="35"/>
      <c r="P12" s="35"/>
      <c r="Q12" s="35"/>
      <c r="R12" s="35"/>
      <c r="S12" s="35"/>
      <c r="U12" s="30">
        <f>SUM('1'!G12,'2'!G12,'3'!G12,'4'!G12,'5'!G12,'6'!G12,'7'!G12,'8'!G12,'9'!G12,'10'!G12,'11'!G12,'12'!G12,'13'!G12,'14'!G12,'15'!G12,'16'!G12,'17'!G12,'18'!G12,'19'!G12,'20'!G12,'21'!G12,'22'!G12,'23'!G12,'24'!G12,'25'!G12,'26'!G12,'27'!G12,'28'!G12,'29'!G12,'30'!G12,'31'!G12)</f>
        <v>0</v>
      </c>
      <c r="V12" s="30">
        <f>SUM('1'!H12,'2'!H12,'3'!H12,'4'!H12,'5'!H12,'6'!H12,'7'!H12,'8'!H12,'9'!H12,'10'!H12,'11'!H12,'12'!H12,'13'!H12,'14'!H12,'15'!H12,'16'!H12,'17'!H12,'18'!H12,'19'!H12,'20'!H12,'21'!H12,'22'!H12,'23'!H12,'24'!H12,'25'!H12,'26'!H12,'27'!H12,'28'!H12,'29'!H12,'30'!H12,'31'!H12)</f>
        <v>0</v>
      </c>
      <c r="W12" s="30">
        <f>SUM('1'!I12,'2'!I12,'3'!I12,'4'!I12,'5'!I12,'6'!I12,'7'!I12,'8'!I12,'9'!I12,'10'!I12,'11'!I12,'12'!I12,'13'!I12,'14'!I12,'15'!I12,'16'!I12,'17'!I12,'18'!I12,'19'!I12,'20'!I12,'21'!I12,'22'!I12,'23'!I12,'24'!I12,'25'!I12,'26'!I12,'27'!I12,'28'!I12,'29'!I12,'30'!I12,'31'!I12)</f>
        <v>0</v>
      </c>
      <c r="X12" s="30">
        <f>SUM('1'!J12,'2'!J12,'3'!J12,'4'!J12,'5'!J12,'6'!J12,'7'!J12,'8'!J12,'9'!J12,'10'!J12,'11'!J12,'12'!J12,'13'!J12,'14'!J12,'15'!J12,'16'!J12,'17'!J12,'18'!J12,'19'!J12,'20'!J12,'21'!J12,'22'!J12,'23'!J12,'24'!J12,'25'!J12,'26'!J12,'27'!J12,'28'!J12,'29'!J12,'30'!J12,'31'!J12)</f>
        <v>0</v>
      </c>
      <c r="Y12" s="30">
        <f>SUM('1'!K12,'2'!K12,'3'!K12,'4'!K12,'5'!K12,'6'!K12,'7'!K12,'8'!K12,'9'!K12,'10'!K12,'11'!K12,'12'!K12,'13'!K12,'14'!K12,'15'!K12,'16'!K12,'17'!K12,'18'!K12,'19'!K12,'20'!K12,'21'!K12,'22'!K12,'23'!K12,'24'!K12,'25'!K12,'26'!K12,'27'!K12,'28'!K12,'29'!K12,'30'!K12,'31'!K12)</f>
        <v>0</v>
      </c>
      <c r="Z12" s="30">
        <f>SUM('1'!L12,'2'!L12,'3'!L12,'4'!L12,'5'!L12,'6'!L12,'7'!L12,'8'!L12,'9'!L12,'10'!L12,'11'!L12,'12'!L12,'13'!L12,'14'!L12,'15'!L12,'16'!L12,'17'!L12,'18'!L12,'19'!L12,'20'!L12,'21'!L12,'22'!L12,'23'!L12,'24'!L12,'25'!L12,'26'!L12,'27'!L12,'28'!L12,'29'!L12,'30'!L12,'31'!L12)</f>
        <v>0</v>
      </c>
      <c r="AA12" s="30">
        <f>SUM('1'!M12,'2'!M12,'3'!M12,'4'!M12,'5'!M12,'6'!M12,'7'!M12,'8'!M12,'9'!M12,'10'!M12,'11'!M12,'12'!M12,'13'!M12,'14'!M12,'15'!M12,'16'!M12,'17'!M12,'18'!M12,'19'!M12,'20'!M12,'21'!M12,'22'!M12,'23'!M12,'24'!M12,'25'!M12,'26'!M12,'27'!M12,'28'!M12,'29'!M12,'30'!M12,'31'!M12)</f>
        <v>0</v>
      </c>
      <c r="AB12" s="30">
        <f>SUM('1'!N12,'2'!N12,'3'!N12,'4'!N12,'5'!N12,'6'!N12,'7'!N12,'8'!N12,'9'!N12,'10'!N12,'11'!N12,'12'!N12,'13'!N12,'14'!N12,'15'!N12,'16'!N12,'17'!N12,'18'!N12,'19'!N12,'20'!N12,'21'!N12,'22'!N12,'23'!N12,'24'!N12,'25'!N12,'26'!N12,'27'!N12,'28'!N12,'29'!N12,'30'!N12,'31'!N12)</f>
        <v>0</v>
      </c>
      <c r="AC12" s="30">
        <f>SUM('1'!O12,'2'!O12,'3'!O12,'4'!O12,'5'!O12,'6'!O12,'7'!O12,'8'!O12,'9'!O12,'10'!O12,'11'!O12,'12'!O12,'13'!O12,'14'!O12,'15'!O12,'16'!O12,'17'!O12,'18'!O12,'19'!O12,'20'!O12,'21'!O12,'22'!O12,'23'!O12,'24'!O12,'25'!O12,'26'!O12,'27'!O12,'28'!O12,'29'!O12,'30'!O12,'31'!O12)</f>
        <v>0</v>
      </c>
    </row>
    <row r="13" spans="1:29" s="30" customFormat="1" ht="11.1" customHeight="1">
      <c r="A13" s="325">
        <v>6</v>
      </c>
      <c r="B13" s="325" t="str">
        <f>IF(АП!B6&lt;&gt;0,АП!B6,"")</f>
        <v>РДМ-2</v>
      </c>
      <c r="C13" s="325">
        <f>IF(АП!C6&lt;&gt;0,АП!C6,"")</f>
        <v>1027</v>
      </c>
      <c r="D13" s="326">
        <f t="shared" si="1"/>
        <v>12</v>
      </c>
      <c r="E13" s="326">
        <f t="shared" si="2"/>
        <v>12</v>
      </c>
      <c r="F13" s="392">
        <f t="shared" si="3"/>
        <v>6</v>
      </c>
      <c r="G13" s="392">
        <f t="shared" si="4"/>
        <v>6</v>
      </c>
      <c r="H13" s="392" t="str">
        <f t="shared" si="5"/>
        <v/>
      </c>
      <c r="I13" s="392" t="str">
        <f t="shared" si="6"/>
        <v/>
      </c>
      <c r="J13" s="392" t="str">
        <f t="shared" si="7"/>
        <v/>
      </c>
      <c r="K13" s="392" t="str">
        <f t="shared" si="8"/>
        <v/>
      </c>
      <c r="L13" s="392" t="str">
        <f t="shared" si="9"/>
        <v/>
      </c>
      <c r="M13" s="130"/>
      <c r="N13" s="32"/>
      <c r="O13" s="3"/>
      <c r="P13" s="3"/>
      <c r="Q13" s="3"/>
      <c r="R13" s="3"/>
      <c r="S13" s="3"/>
      <c r="U13" s="30">
        <f>SUM('1'!G13,'2'!G13,'3'!G13,'4'!G13,'5'!G13,'6'!G13,'7'!G13,'8'!G13,'9'!G13,'10'!G13,'11'!G13,'12'!G13,'13'!G13,'14'!G13,'15'!G13,'16'!G13,'17'!G13,'18'!G13,'19'!G13,'20'!G13,'21'!G13,'22'!G13,'23'!G13,'24'!G13,'25'!G13,'26'!G13,'27'!G13,'28'!G13,'29'!G13,'30'!G13,'31'!G13)</f>
        <v>12</v>
      </c>
      <c r="V13" s="30">
        <f>SUM('1'!H13,'2'!H13,'3'!H13,'4'!H13,'5'!H13,'6'!H13,'7'!H13,'8'!H13,'9'!H13,'10'!H13,'11'!H13,'12'!H13,'13'!H13,'14'!H13,'15'!H13,'16'!H13,'17'!H13,'18'!H13,'19'!H13,'20'!H13,'21'!H13,'22'!H13,'23'!H13,'24'!H13,'25'!H13,'26'!H13,'27'!H13,'28'!H13,'29'!H13,'30'!H13,'31'!H13)</f>
        <v>12</v>
      </c>
      <c r="W13" s="30">
        <f>SUM('1'!I13,'2'!I13,'3'!I13,'4'!I13,'5'!I13,'6'!I13,'7'!I13,'8'!I13,'9'!I13,'10'!I13,'11'!I13,'12'!I13,'13'!I13,'14'!I13,'15'!I13,'16'!I13,'17'!I13,'18'!I13,'19'!I13,'20'!I13,'21'!I13,'22'!I13,'23'!I13,'24'!I13,'25'!I13,'26'!I13,'27'!I13,'28'!I13,'29'!I13,'30'!I13,'31'!I13)</f>
        <v>6</v>
      </c>
      <c r="X13" s="30">
        <f>SUM('1'!J13,'2'!J13,'3'!J13,'4'!J13,'5'!J13,'6'!J13,'7'!J13,'8'!J13,'9'!J13,'10'!J13,'11'!J13,'12'!J13,'13'!J13,'14'!J13,'15'!J13,'16'!J13,'17'!J13,'18'!J13,'19'!J13,'20'!J13,'21'!J13,'22'!J13,'23'!J13,'24'!J13,'25'!J13,'26'!J13,'27'!J13,'28'!J13,'29'!J13,'30'!J13,'31'!J13)</f>
        <v>6</v>
      </c>
      <c r="Y13" s="30">
        <f>SUM('1'!K13,'2'!K13,'3'!K13,'4'!K13,'5'!K13,'6'!K13,'7'!K13,'8'!K13,'9'!K13,'10'!K13,'11'!K13,'12'!K13,'13'!K13,'14'!K13,'15'!K13,'16'!K13,'17'!K13,'18'!K13,'19'!K13,'20'!K13,'21'!K13,'22'!K13,'23'!K13,'24'!K13,'25'!K13,'26'!K13,'27'!K13,'28'!K13,'29'!K13,'30'!K13,'31'!K13)</f>
        <v>0</v>
      </c>
      <c r="Z13" s="30">
        <f>SUM('1'!L13,'2'!L13,'3'!L13,'4'!L13,'5'!L13,'6'!L13,'7'!L13,'8'!L13,'9'!L13,'10'!L13,'11'!L13,'12'!L13,'13'!L13,'14'!L13,'15'!L13,'16'!L13,'17'!L13,'18'!L13,'19'!L13,'20'!L13,'21'!L13,'22'!L13,'23'!L13,'24'!L13,'25'!L13,'26'!L13,'27'!L13,'28'!L13,'29'!L13,'30'!L13,'31'!L13)</f>
        <v>0</v>
      </c>
      <c r="AA13" s="30">
        <f>SUM('1'!M13,'2'!M13,'3'!M13,'4'!M13,'5'!M13,'6'!M13,'7'!M13,'8'!M13,'9'!M13,'10'!M13,'11'!M13,'12'!M13,'13'!M13,'14'!M13,'15'!M13,'16'!M13,'17'!M13,'18'!M13,'19'!M13,'20'!M13,'21'!M13,'22'!M13,'23'!M13,'24'!M13,'25'!M13,'26'!M13,'27'!M13,'28'!M13,'29'!M13,'30'!M13,'31'!M13)</f>
        <v>0</v>
      </c>
      <c r="AB13" s="30">
        <f>SUM('1'!N13,'2'!N13,'3'!N13,'4'!N13,'5'!N13,'6'!N13,'7'!N13,'8'!N13,'9'!N13,'10'!N13,'11'!N13,'12'!N13,'13'!N13,'14'!N13,'15'!N13,'16'!N13,'17'!N13,'18'!N13,'19'!N13,'20'!N13,'21'!N13,'22'!N13,'23'!N13,'24'!N13,'25'!N13,'26'!N13,'27'!N13,'28'!N13,'29'!N13,'30'!N13,'31'!N13)</f>
        <v>0</v>
      </c>
      <c r="AC13" s="30">
        <f>SUM('1'!O13,'2'!O13,'3'!O13,'4'!O13,'5'!O13,'6'!O13,'7'!O13,'8'!O13,'9'!O13,'10'!O13,'11'!O13,'12'!O13,'13'!O13,'14'!O13,'15'!O13,'16'!O13,'17'!O13,'18'!O13,'19'!O13,'20'!O13,'21'!O13,'22'!O13,'23'!O13,'24'!O13,'25'!O13,'26'!O13,'27'!O13,'28'!O13,'29'!O13,'30'!O13,'31'!O13)</f>
        <v>0</v>
      </c>
    </row>
    <row r="14" spans="1:29" s="30" customFormat="1" ht="11.1" customHeight="1">
      <c r="A14" s="325">
        <v>7</v>
      </c>
      <c r="B14" s="325" t="str">
        <f>IF(АП!B7&lt;&gt;0,АП!B7,"")</f>
        <v>РДМ-2</v>
      </c>
      <c r="C14" s="325">
        <f>IF(АП!C7&lt;&gt;0,АП!C7,"")</f>
        <v>1031</v>
      </c>
      <c r="D14" s="326">
        <f t="shared" si="1"/>
        <v>38.9</v>
      </c>
      <c r="E14" s="326">
        <f t="shared" si="2"/>
        <v>38.9</v>
      </c>
      <c r="F14" s="392">
        <f t="shared" si="3"/>
        <v>104</v>
      </c>
      <c r="G14" s="392">
        <f t="shared" si="4"/>
        <v>104</v>
      </c>
      <c r="H14" s="392" t="str">
        <f t="shared" si="5"/>
        <v/>
      </c>
      <c r="I14" s="392" t="str">
        <f t="shared" si="6"/>
        <v/>
      </c>
      <c r="J14" s="392">
        <f t="shared" si="7"/>
        <v>9</v>
      </c>
      <c r="K14" s="392" t="str">
        <f t="shared" si="8"/>
        <v/>
      </c>
      <c r="L14" s="392" t="str">
        <f t="shared" si="9"/>
        <v/>
      </c>
      <c r="M14" s="130"/>
      <c r="N14" s="32"/>
      <c r="O14" s="3"/>
      <c r="P14" s="3"/>
      <c r="Q14" s="3"/>
      <c r="R14" s="3"/>
      <c r="S14" s="3"/>
      <c r="U14" s="30">
        <f>SUM('1'!G14,'2'!G14,'3'!G14,'4'!G14,'5'!G14,'6'!G14,'7'!G14,'8'!G14,'9'!G14,'10'!G14,'11'!G14,'12'!G14,'13'!G14,'14'!G14,'15'!G14,'16'!G14,'17'!G14,'18'!G14,'19'!G14,'20'!G14,'21'!G14,'22'!G14,'23'!G14,'24'!G14,'25'!G14,'26'!G14,'27'!G14,'28'!G14,'29'!G14,'30'!G14,'31'!G14)</f>
        <v>38.9</v>
      </c>
      <c r="V14" s="30">
        <f>SUM('1'!H14,'2'!H14,'3'!H14,'4'!H14,'5'!H14,'6'!H14,'7'!H14,'8'!H14,'9'!H14,'10'!H14,'11'!H14,'12'!H14,'13'!H14,'14'!H14,'15'!H14,'16'!H14,'17'!H14,'18'!H14,'19'!H14,'20'!H14,'21'!H14,'22'!H14,'23'!H14,'24'!H14,'25'!H14,'26'!H14,'27'!H14,'28'!H14,'29'!H14,'30'!H14,'31'!H14)</f>
        <v>38.9</v>
      </c>
      <c r="W14" s="30">
        <f>SUM('1'!I14,'2'!I14,'3'!I14,'4'!I14,'5'!I14,'6'!I14,'7'!I14,'8'!I14,'9'!I14,'10'!I14,'11'!I14,'12'!I14,'13'!I14,'14'!I14,'15'!I14,'16'!I14,'17'!I14,'18'!I14,'19'!I14,'20'!I14,'21'!I14,'22'!I14,'23'!I14,'24'!I14,'25'!I14,'26'!I14,'27'!I14,'28'!I14,'29'!I14,'30'!I14,'31'!I14)</f>
        <v>104</v>
      </c>
      <c r="X14" s="30">
        <f>SUM('1'!J14,'2'!J14,'3'!J14,'4'!J14,'5'!J14,'6'!J14,'7'!J14,'8'!J14,'9'!J14,'10'!J14,'11'!J14,'12'!J14,'13'!J14,'14'!J14,'15'!J14,'16'!J14,'17'!J14,'18'!J14,'19'!J14,'20'!J14,'21'!J14,'22'!J14,'23'!J14,'24'!J14,'25'!J14,'26'!J14,'27'!J14,'28'!J14,'29'!J14,'30'!J14,'31'!J14)</f>
        <v>104</v>
      </c>
      <c r="Y14" s="30">
        <f>SUM('1'!K14,'2'!K14,'3'!K14,'4'!K14,'5'!K14,'6'!K14,'7'!K14,'8'!K14,'9'!K14,'10'!K14,'11'!K14,'12'!K14,'13'!K14,'14'!K14,'15'!K14,'16'!K14,'17'!K14,'18'!K14,'19'!K14,'20'!K14,'21'!K14,'22'!K14,'23'!K14,'24'!K14,'25'!K14,'26'!K14,'27'!K14,'28'!K14,'29'!K14,'30'!K14,'31'!K14)</f>
        <v>0</v>
      </c>
      <c r="Z14" s="30">
        <f>SUM('1'!L14,'2'!L14,'3'!L14,'4'!L14,'5'!L14,'6'!L14,'7'!L14,'8'!L14,'9'!L14,'10'!L14,'11'!L14,'12'!L14,'13'!L14,'14'!L14,'15'!L14,'16'!L14,'17'!L14,'18'!L14,'19'!L14,'20'!L14,'21'!L14,'22'!L14,'23'!L14,'24'!L14,'25'!L14,'26'!L14,'27'!L14,'28'!L14,'29'!L14,'30'!L14,'31'!L14)</f>
        <v>0</v>
      </c>
      <c r="AA14" s="30">
        <f>SUM('1'!M14,'2'!M14,'3'!M14,'4'!M14,'5'!M14,'6'!M14,'7'!M14,'8'!M14,'9'!M14,'10'!M14,'11'!M14,'12'!M14,'13'!M14,'14'!M14,'15'!M14,'16'!M14,'17'!M14,'18'!M14,'19'!M14,'20'!M14,'21'!M14,'22'!M14,'23'!M14,'24'!M14,'25'!M14,'26'!M14,'27'!M14,'28'!M14,'29'!M14,'30'!M14,'31'!M14)</f>
        <v>9</v>
      </c>
      <c r="AB14" s="30">
        <f>SUM('1'!N14,'2'!N14,'3'!N14,'4'!N14,'5'!N14,'6'!N14,'7'!N14,'8'!N14,'9'!N14,'10'!N14,'11'!N14,'12'!N14,'13'!N14,'14'!N14,'15'!N14,'16'!N14,'17'!N14,'18'!N14,'19'!N14,'20'!N14,'21'!N14,'22'!N14,'23'!N14,'24'!N14,'25'!N14,'26'!N14,'27'!N14,'28'!N14,'29'!N14,'30'!N14,'31'!N14)</f>
        <v>0</v>
      </c>
      <c r="AC14" s="30">
        <f>SUM('1'!O14,'2'!O14,'3'!O14,'4'!O14,'5'!O14,'6'!O14,'7'!O14,'8'!O14,'9'!O14,'10'!O14,'11'!O14,'12'!O14,'13'!O14,'14'!O14,'15'!O14,'16'!O14,'17'!O14,'18'!O14,'19'!O14,'20'!O14,'21'!O14,'22'!O14,'23'!O14,'24'!O14,'25'!O14,'26'!O14,'27'!O14,'28'!O14,'29'!O14,'30'!O14,'31'!O14)</f>
        <v>0</v>
      </c>
    </row>
    <row r="15" spans="1:29" s="30" customFormat="1" ht="11.1" customHeight="1">
      <c r="A15" s="325">
        <v>8</v>
      </c>
      <c r="B15" s="325" t="str">
        <f>IF(АП!B8&lt;&gt;0,АП!B8,"")</f>
        <v>РДМ-2</v>
      </c>
      <c r="C15" s="325">
        <f>IF(АП!C8&lt;&gt;0,АП!C8,"")</f>
        <v>2713</v>
      </c>
      <c r="D15" s="326">
        <f t="shared" si="1"/>
        <v>78.499999999999986</v>
      </c>
      <c r="E15" s="326">
        <f t="shared" si="2"/>
        <v>78.499999999999986</v>
      </c>
      <c r="F15" s="392">
        <f t="shared" si="3"/>
        <v>81</v>
      </c>
      <c r="G15" s="392">
        <f t="shared" si="4"/>
        <v>81</v>
      </c>
      <c r="H15" s="392">
        <f t="shared" si="5"/>
        <v>120</v>
      </c>
      <c r="I15" s="392">
        <f t="shared" si="6"/>
        <v>120</v>
      </c>
      <c r="J15" s="392">
        <f t="shared" si="7"/>
        <v>15</v>
      </c>
      <c r="K15" s="392" t="str">
        <f t="shared" si="8"/>
        <v/>
      </c>
      <c r="L15" s="392" t="str">
        <f t="shared" si="9"/>
        <v/>
      </c>
      <c r="M15" s="130"/>
      <c r="N15" s="32"/>
      <c r="O15" s="3"/>
      <c r="P15" s="3"/>
      <c r="Q15" s="3"/>
      <c r="R15" s="3"/>
      <c r="S15" s="3"/>
      <c r="U15" s="30">
        <f>SUM('1'!G15,'2'!G15,'3'!G15,'4'!G15,'5'!G15,'6'!G15,'7'!G15,'8'!G15,'9'!G15,'10'!G15,'11'!G15,'12'!G15,'13'!G15,'14'!G15,'15'!G15,'16'!G15,'17'!G15,'18'!G15,'19'!G15,'20'!G15,'21'!G15,'22'!G15,'23'!G15,'24'!G15,'25'!G15,'26'!G15,'27'!G15,'28'!G15,'29'!G15,'30'!G15,'31'!G15)</f>
        <v>78.499999999999986</v>
      </c>
      <c r="V15" s="30">
        <f>SUM('1'!H15,'2'!H15,'3'!H15,'4'!H15,'5'!H15,'6'!H15,'7'!H15,'8'!H15,'9'!H15,'10'!H15,'11'!H15,'12'!H15,'13'!H15,'14'!H15,'15'!H15,'16'!H15,'17'!H15,'18'!H15,'19'!H15,'20'!H15,'21'!H15,'22'!H15,'23'!H15,'24'!H15,'25'!H15,'26'!H15,'27'!H15,'28'!H15,'29'!H15,'30'!H15,'31'!H15)</f>
        <v>78.499999999999986</v>
      </c>
      <c r="W15" s="30">
        <f>SUM('1'!I15,'2'!I15,'3'!I15,'4'!I15,'5'!I15,'6'!I15,'7'!I15,'8'!I15,'9'!I15,'10'!I15,'11'!I15,'12'!I15,'13'!I15,'14'!I15,'15'!I15,'16'!I15,'17'!I15,'18'!I15,'19'!I15,'20'!I15,'21'!I15,'22'!I15,'23'!I15,'24'!I15,'25'!I15,'26'!I15,'27'!I15,'28'!I15,'29'!I15,'30'!I15,'31'!I15)</f>
        <v>81</v>
      </c>
      <c r="X15" s="30">
        <f>SUM('1'!J15,'2'!J15,'3'!J15,'4'!J15,'5'!J15,'6'!J15,'7'!J15,'8'!J15,'9'!J15,'10'!J15,'11'!J15,'12'!J15,'13'!J15,'14'!J15,'15'!J15,'16'!J15,'17'!J15,'18'!J15,'19'!J15,'20'!J15,'21'!J15,'22'!J15,'23'!J15,'24'!J15,'25'!J15,'26'!J15,'27'!J15,'28'!J15,'29'!J15,'30'!J15,'31'!J15)</f>
        <v>81</v>
      </c>
      <c r="Y15" s="30">
        <f>SUM('1'!K15,'2'!K15,'3'!K15,'4'!K15,'5'!K15,'6'!K15,'7'!K15,'8'!K15,'9'!K15,'10'!K15,'11'!K15,'12'!K15,'13'!K15,'14'!K15,'15'!K15,'16'!K15,'17'!K15,'18'!K15,'19'!K15,'20'!K15,'21'!K15,'22'!K15,'23'!K15,'24'!K15,'25'!K15,'26'!K15,'27'!K15,'28'!K15,'29'!K15,'30'!K15,'31'!K15)</f>
        <v>120</v>
      </c>
      <c r="Z15" s="30">
        <f>SUM('1'!L15,'2'!L15,'3'!L15,'4'!L15,'5'!L15,'6'!L15,'7'!L15,'8'!L15,'9'!L15,'10'!L15,'11'!L15,'12'!L15,'13'!L15,'14'!L15,'15'!L15,'16'!L15,'17'!L15,'18'!L15,'19'!L15,'20'!L15,'21'!L15,'22'!L15,'23'!L15,'24'!L15,'25'!L15,'26'!L15,'27'!L15,'28'!L15,'29'!L15,'30'!L15,'31'!L15)</f>
        <v>120</v>
      </c>
      <c r="AA15" s="30">
        <f>SUM('1'!M15,'2'!M15,'3'!M15,'4'!M15,'5'!M15,'6'!M15,'7'!M15,'8'!M15,'9'!M15,'10'!M15,'11'!M15,'12'!M15,'13'!M15,'14'!M15,'15'!M15,'16'!M15,'17'!M15,'18'!M15,'19'!M15,'20'!M15,'21'!M15,'22'!M15,'23'!M15,'24'!M15,'25'!M15,'26'!M15,'27'!M15,'28'!M15,'29'!M15,'30'!M15,'31'!M15)</f>
        <v>15</v>
      </c>
      <c r="AB15" s="30">
        <f>SUM('1'!N15,'2'!N15,'3'!N15,'4'!N15,'5'!N15,'6'!N15,'7'!N15,'8'!N15,'9'!N15,'10'!N15,'11'!N15,'12'!N15,'13'!N15,'14'!N15,'15'!N15,'16'!N15,'17'!N15,'18'!N15,'19'!N15,'20'!N15,'21'!N15,'22'!N15,'23'!N15,'24'!N15,'25'!N15,'26'!N15,'27'!N15,'28'!N15,'29'!N15,'30'!N15,'31'!N15)</f>
        <v>0</v>
      </c>
      <c r="AC15" s="30">
        <f>SUM('1'!O15,'2'!O15,'3'!O15,'4'!O15,'5'!O15,'6'!O15,'7'!O15,'8'!O15,'9'!O15,'10'!O15,'11'!O15,'12'!O15,'13'!O15,'14'!O15,'15'!O15,'16'!O15,'17'!O15,'18'!O15,'19'!O15,'20'!O15,'21'!O15,'22'!O15,'23'!O15,'24'!O15,'25'!O15,'26'!O15,'27'!O15,'28'!O15,'29'!O15,'30'!O15,'31'!O15)</f>
        <v>0</v>
      </c>
    </row>
    <row r="16" spans="1:29" s="30" customFormat="1" ht="11.1" customHeight="1">
      <c r="A16" s="325">
        <v>9</v>
      </c>
      <c r="B16" s="325" t="str">
        <f>IF(АП!B9&lt;&gt;0,АП!B9,"")</f>
        <v>УДС2-73</v>
      </c>
      <c r="C16" s="325">
        <f>IF(АП!C9&lt;&gt;0,АП!C9,"")</f>
        <v>48</v>
      </c>
      <c r="D16" s="326" t="str">
        <f t="shared" si="1"/>
        <v/>
      </c>
      <c r="E16" s="326" t="str">
        <f t="shared" si="2"/>
        <v/>
      </c>
      <c r="F16" s="392" t="str">
        <f t="shared" si="3"/>
        <v/>
      </c>
      <c r="G16" s="392" t="str">
        <f t="shared" si="4"/>
        <v/>
      </c>
      <c r="H16" s="392" t="str">
        <f t="shared" si="5"/>
        <v/>
      </c>
      <c r="I16" s="392" t="str">
        <f t="shared" si="6"/>
        <v/>
      </c>
      <c r="J16" s="392" t="str">
        <f t="shared" si="7"/>
        <v/>
      </c>
      <c r="K16" s="392" t="str">
        <f t="shared" si="8"/>
        <v/>
      </c>
      <c r="L16" s="392" t="str">
        <f t="shared" si="9"/>
        <v/>
      </c>
      <c r="M16" s="130"/>
      <c r="N16" s="32"/>
      <c r="O16" s="3"/>
      <c r="P16" s="3"/>
      <c r="Q16" s="3"/>
      <c r="R16" s="3"/>
      <c r="S16" s="3"/>
      <c r="U16" s="30">
        <f>SUM('1'!G16,'2'!G16,'3'!G16,'4'!G16,'5'!G16,'6'!G16,'7'!G16,'8'!G16,'9'!G16,'10'!G16,'11'!G16,'12'!G16,'13'!G16,'14'!G16,'15'!G16,'16'!G16,'17'!G16,'18'!G16,'19'!G16,'20'!G16,'21'!G16,'22'!G16,'23'!G16,'24'!G16,'25'!G16,'26'!G16,'27'!G16,'28'!G16,'29'!G16,'30'!G16,'31'!G16)</f>
        <v>0</v>
      </c>
      <c r="V16" s="30">
        <f>SUM('1'!H16,'2'!H16,'3'!H16,'4'!H16,'5'!H16,'6'!H16,'7'!H16,'8'!H16,'9'!H16,'10'!H16,'11'!H16,'12'!H16,'13'!H16,'14'!H16,'15'!H16,'16'!H16,'17'!H16,'18'!H16,'19'!H16,'20'!H16,'21'!H16,'22'!H16,'23'!H16,'24'!H16,'25'!H16,'26'!H16,'27'!H16,'28'!H16,'29'!H16,'30'!H16,'31'!H16)</f>
        <v>0</v>
      </c>
      <c r="W16" s="30">
        <f>SUM('1'!I16,'2'!I16,'3'!I16,'4'!I16,'5'!I16,'6'!I16,'7'!I16,'8'!I16,'9'!I16,'10'!I16,'11'!I16,'12'!I16,'13'!I16,'14'!I16,'15'!I16,'16'!I16,'17'!I16,'18'!I16,'19'!I16,'20'!I16,'21'!I16,'22'!I16,'23'!I16,'24'!I16,'25'!I16,'26'!I16,'27'!I16,'28'!I16,'29'!I16,'30'!I16,'31'!I16)</f>
        <v>0</v>
      </c>
      <c r="X16" s="30">
        <f>SUM('1'!J16,'2'!J16,'3'!J16,'4'!J16,'5'!J16,'6'!J16,'7'!J16,'8'!J16,'9'!J16,'10'!J16,'11'!J16,'12'!J16,'13'!J16,'14'!J16,'15'!J16,'16'!J16,'17'!J16,'18'!J16,'19'!J16,'20'!J16,'21'!J16,'22'!J16,'23'!J16,'24'!J16,'25'!J16,'26'!J16,'27'!J16,'28'!J16,'29'!J16,'30'!J16,'31'!J16)</f>
        <v>0</v>
      </c>
      <c r="Y16" s="30">
        <f>SUM('1'!K16,'2'!K16,'3'!K16,'4'!K16,'5'!K16,'6'!K16,'7'!K16,'8'!K16,'9'!K16,'10'!K16,'11'!K16,'12'!K16,'13'!K16,'14'!K16,'15'!K16,'16'!K16,'17'!K16,'18'!K16,'19'!K16,'20'!K16,'21'!K16,'22'!K16,'23'!K16,'24'!K16,'25'!K16,'26'!K16,'27'!K16,'28'!K16,'29'!K16,'30'!K16,'31'!K16)</f>
        <v>0</v>
      </c>
      <c r="Z16" s="30">
        <f>SUM('1'!L16,'2'!L16,'3'!L16,'4'!L16,'5'!L16,'6'!L16,'7'!L16,'8'!L16,'9'!L16,'10'!L16,'11'!L16,'12'!L16,'13'!L16,'14'!L16,'15'!L16,'16'!L16,'17'!L16,'18'!L16,'19'!L16,'20'!L16,'21'!L16,'22'!L16,'23'!L16,'24'!L16,'25'!L16,'26'!L16,'27'!L16,'28'!L16,'29'!L16,'30'!L16,'31'!L16)</f>
        <v>0</v>
      </c>
      <c r="AA16" s="30">
        <f>SUM('1'!M16,'2'!M16,'3'!M16,'4'!M16,'5'!M16,'6'!M16,'7'!M16,'8'!M16,'9'!M16,'10'!M16,'11'!M16,'12'!M16,'13'!M16,'14'!M16,'15'!M16,'16'!M16,'17'!M16,'18'!M16,'19'!M16,'20'!M16,'21'!M16,'22'!M16,'23'!M16,'24'!M16,'25'!M16,'26'!M16,'27'!M16,'28'!M16,'29'!M16,'30'!M16,'31'!M16)</f>
        <v>0</v>
      </c>
      <c r="AB16" s="30">
        <f>SUM('1'!N16,'2'!N16,'3'!N16,'4'!N16,'5'!N16,'6'!N16,'7'!N16,'8'!N16,'9'!N16,'10'!N16,'11'!N16,'12'!N16,'13'!N16,'14'!N16,'15'!N16,'16'!N16,'17'!N16,'18'!N16,'19'!N16,'20'!N16,'21'!N16,'22'!N16,'23'!N16,'24'!N16,'25'!N16,'26'!N16,'27'!N16,'28'!N16,'29'!N16,'30'!N16,'31'!N16)</f>
        <v>0</v>
      </c>
      <c r="AC16" s="30">
        <f>SUM('1'!O16,'2'!O16,'3'!O16,'4'!O16,'5'!O16,'6'!O16,'7'!O16,'8'!O16,'9'!O16,'10'!O16,'11'!O16,'12'!O16,'13'!O16,'14'!O16,'15'!O16,'16'!O16,'17'!O16,'18'!O16,'19'!O16,'20'!O16,'21'!O16,'22'!O16,'23'!O16,'24'!O16,'25'!O16,'26'!O16,'27'!O16,'28'!O16,'29'!O16,'30'!O16,'31'!O16)</f>
        <v>0</v>
      </c>
    </row>
    <row r="17" spans="1:29" s="30" customFormat="1" ht="11.1" customHeight="1">
      <c r="A17" s="325">
        <v>10</v>
      </c>
      <c r="B17" s="325" t="str">
        <f>IF(АП!B10&lt;&gt;0,АП!B10,"")</f>
        <v>УДС2-73</v>
      </c>
      <c r="C17" s="325">
        <f>IF(АП!C10&lt;&gt;0,АП!C10,"")</f>
        <v>101</v>
      </c>
      <c r="D17" s="326" t="str">
        <f t="shared" si="1"/>
        <v/>
      </c>
      <c r="E17" s="326" t="str">
        <f t="shared" si="2"/>
        <v/>
      </c>
      <c r="F17" s="392" t="str">
        <f t="shared" si="3"/>
        <v/>
      </c>
      <c r="G17" s="392" t="str">
        <f t="shared" si="4"/>
        <v/>
      </c>
      <c r="H17" s="392" t="str">
        <f t="shared" si="5"/>
        <v/>
      </c>
      <c r="I17" s="392" t="str">
        <f t="shared" si="6"/>
        <v/>
      </c>
      <c r="J17" s="392" t="str">
        <f t="shared" si="7"/>
        <v/>
      </c>
      <c r="K17" s="392" t="str">
        <f t="shared" si="8"/>
        <v/>
      </c>
      <c r="L17" s="392" t="str">
        <f t="shared" si="9"/>
        <v/>
      </c>
      <c r="M17" s="130"/>
      <c r="N17" s="34"/>
      <c r="O17" s="35"/>
      <c r="P17" s="35"/>
      <c r="Q17" s="35"/>
      <c r="R17" s="35"/>
      <c r="S17" s="35"/>
      <c r="U17" s="30">
        <f>SUM('1'!G17,'2'!G17,'3'!G17,'4'!G17,'5'!G17,'6'!G17,'7'!G17,'8'!G17,'9'!G17,'10'!G17,'11'!G17,'12'!G17,'13'!G17,'14'!G17,'15'!G17,'16'!G17,'17'!G17,'18'!G17,'19'!G17,'20'!G17,'21'!G17,'22'!G17,'23'!G17,'24'!G17,'25'!G17,'26'!G17,'27'!G17,'28'!G17,'29'!G17,'30'!G17,'31'!G17)</f>
        <v>0</v>
      </c>
      <c r="V17" s="30">
        <f>SUM('1'!H17,'2'!H17,'3'!H17,'4'!H17,'5'!H17,'6'!H17,'7'!H17,'8'!H17,'9'!H17,'10'!H17,'11'!H17,'12'!H17,'13'!H17,'14'!H17,'15'!H17,'16'!H17,'17'!H17,'18'!H17,'19'!H17,'20'!H17,'21'!H17,'22'!H17,'23'!H17,'24'!H17,'25'!H17,'26'!H17,'27'!H17,'28'!H17,'29'!H17,'30'!H17,'31'!H17)</f>
        <v>0</v>
      </c>
      <c r="W17" s="30">
        <f>SUM('1'!I17,'2'!I17,'3'!I17,'4'!I17,'5'!I17,'6'!I17,'7'!I17,'8'!I17,'9'!I17,'10'!I17,'11'!I17,'12'!I17,'13'!I17,'14'!I17,'15'!I17,'16'!I17,'17'!I17,'18'!I17,'19'!I17,'20'!I17,'21'!I17,'22'!I17,'23'!I17,'24'!I17,'25'!I17,'26'!I17,'27'!I17,'28'!I17,'29'!I17,'30'!I17,'31'!I17)</f>
        <v>0</v>
      </c>
      <c r="X17" s="30">
        <f>SUM('1'!J17,'2'!J17,'3'!J17,'4'!J17,'5'!J17,'6'!J17,'7'!J17,'8'!J17,'9'!J17,'10'!J17,'11'!J17,'12'!J17,'13'!J17,'14'!J17,'15'!J17,'16'!J17,'17'!J17,'18'!J17,'19'!J17,'20'!J17,'21'!J17,'22'!J17,'23'!J17,'24'!J17,'25'!J17,'26'!J17,'27'!J17,'28'!J17,'29'!J17,'30'!J17,'31'!J17)</f>
        <v>0</v>
      </c>
      <c r="Y17" s="30">
        <f>SUM('1'!K17,'2'!K17,'3'!K17,'4'!K17,'5'!K17,'6'!K17,'7'!K17,'8'!K17,'9'!K17,'10'!K17,'11'!K17,'12'!K17,'13'!K17,'14'!K17,'15'!K17,'16'!K17,'17'!K17,'18'!K17,'19'!K17,'20'!K17,'21'!K17,'22'!K17,'23'!K17,'24'!K17,'25'!K17,'26'!K17,'27'!K17,'28'!K17,'29'!K17,'30'!K17,'31'!K17)</f>
        <v>0</v>
      </c>
      <c r="Z17" s="30">
        <f>SUM('1'!L17,'2'!L17,'3'!L17,'4'!L17,'5'!L17,'6'!L17,'7'!L17,'8'!L17,'9'!L17,'10'!L17,'11'!L17,'12'!L17,'13'!L17,'14'!L17,'15'!L17,'16'!L17,'17'!L17,'18'!L17,'19'!L17,'20'!L17,'21'!L17,'22'!L17,'23'!L17,'24'!L17,'25'!L17,'26'!L17,'27'!L17,'28'!L17,'29'!L17,'30'!L17,'31'!L17)</f>
        <v>0</v>
      </c>
      <c r="AA17" s="30">
        <f>SUM('1'!M17,'2'!M17,'3'!M17,'4'!M17,'5'!M17,'6'!M17,'7'!M17,'8'!M17,'9'!M17,'10'!M17,'11'!M17,'12'!M17,'13'!M17,'14'!M17,'15'!M17,'16'!M17,'17'!M17,'18'!M17,'19'!M17,'20'!M17,'21'!M17,'22'!M17,'23'!M17,'24'!M17,'25'!M17,'26'!M17,'27'!M17,'28'!M17,'29'!M17,'30'!M17,'31'!M17)</f>
        <v>0</v>
      </c>
      <c r="AB17" s="30">
        <f>SUM('1'!N17,'2'!N17,'3'!N17,'4'!N17,'5'!N17,'6'!N17,'7'!N17,'8'!N17,'9'!N17,'10'!N17,'11'!N17,'12'!N17,'13'!N17,'14'!N17,'15'!N17,'16'!N17,'17'!N17,'18'!N17,'19'!N17,'20'!N17,'21'!N17,'22'!N17,'23'!N17,'24'!N17,'25'!N17,'26'!N17,'27'!N17,'28'!N17,'29'!N17,'30'!N17,'31'!N17)</f>
        <v>0</v>
      </c>
      <c r="AC17" s="30">
        <f>SUM('1'!O17,'2'!O17,'3'!O17,'4'!O17,'5'!O17,'6'!O17,'7'!O17,'8'!O17,'9'!O17,'10'!O17,'11'!O17,'12'!O17,'13'!O17,'14'!O17,'15'!O17,'16'!O17,'17'!O17,'18'!O17,'19'!O17,'20'!O17,'21'!O17,'22'!O17,'23'!O17,'24'!O17,'25'!O17,'26'!O17,'27'!O17,'28'!O17,'29'!O17,'30'!O17,'31'!O17)</f>
        <v>0</v>
      </c>
    </row>
    <row r="18" spans="1:29" s="30" customFormat="1" ht="11.1" customHeight="1">
      <c r="A18" s="325">
        <v>11</v>
      </c>
      <c r="B18" s="325" t="str">
        <f>IF(АП!B11&lt;&gt;0,АП!B11,"")</f>
        <v>УДС2-73</v>
      </c>
      <c r="C18" s="325">
        <f>IF(АП!C11&lt;&gt;0,АП!C11,"")</f>
        <v>190</v>
      </c>
      <c r="D18" s="326" t="str">
        <f t="shared" si="1"/>
        <v/>
      </c>
      <c r="E18" s="326" t="str">
        <f t="shared" si="2"/>
        <v/>
      </c>
      <c r="F18" s="392" t="str">
        <f t="shared" si="3"/>
        <v/>
      </c>
      <c r="G18" s="392" t="str">
        <f t="shared" si="4"/>
        <v/>
      </c>
      <c r="H18" s="392" t="str">
        <f t="shared" si="5"/>
        <v/>
      </c>
      <c r="I18" s="392" t="str">
        <f t="shared" si="6"/>
        <v/>
      </c>
      <c r="J18" s="392" t="str">
        <f t="shared" si="7"/>
        <v/>
      </c>
      <c r="K18" s="392" t="str">
        <f t="shared" si="8"/>
        <v/>
      </c>
      <c r="L18" s="392" t="str">
        <f t="shared" si="9"/>
        <v/>
      </c>
      <c r="M18" s="130"/>
      <c r="N18" s="34"/>
      <c r="O18" s="35"/>
      <c r="P18" s="35"/>
      <c r="Q18" s="35"/>
      <c r="R18" s="35"/>
      <c r="S18" s="35"/>
      <c r="U18" s="30">
        <f>SUM('1'!G18,'2'!G18,'3'!G18,'4'!G18,'5'!G18,'6'!G18,'7'!G18,'8'!G18,'9'!G18,'10'!G18,'11'!G18,'12'!G18,'13'!G18,'14'!G18,'15'!G18,'16'!G18,'17'!G18,'18'!G18,'19'!G18,'20'!G18,'21'!G18,'22'!G18,'23'!G18,'24'!G18,'25'!G18,'26'!G18,'27'!G18,'28'!G18,'29'!G18,'30'!G18,'31'!G18)</f>
        <v>0</v>
      </c>
      <c r="V18" s="30">
        <f>SUM('1'!H18,'2'!H18,'3'!H18,'4'!H18,'5'!H18,'6'!H18,'7'!H18,'8'!H18,'9'!H18,'10'!H18,'11'!H18,'12'!H18,'13'!H18,'14'!H18,'15'!H18,'16'!H18,'17'!H18,'18'!H18,'19'!H18,'20'!H18,'21'!H18,'22'!H18,'23'!H18,'24'!H18,'25'!H18,'26'!H18,'27'!H18,'28'!H18,'29'!H18,'30'!H18,'31'!H18)</f>
        <v>0</v>
      </c>
      <c r="W18" s="30">
        <f>SUM('1'!I18,'2'!I18,'3'!I18,'4'!I18,'5'!I18,'6'!I18,'7'!I18,'8'!I18,'9'!I18,'10'!I18,'11'!I18,'12'!I18,'13'!I18,'14'!I18,'15'!I18,'16'!I18,'17'!I18,'18'!I18,'19'!I18,'20'!I18,'21'!I18,'22'!I18,'23'!I18,'24'!I18,'25'!I18,'26'!I18,'27'!I18,'28'!I18,'29'!I18,'30'!I18,'31'!I18)</f>
        <v>0</v>
      </c>
      <c r="X18" s="30">
        <f>SUM('1'!J18,'2'!J18,'3'!J18,'4'!J18,'5'!J18,'6'!J18,'7'!J18,'8'!J18,'9'!J18,'10'!J18,'11'!J18,'12'!J18,'13'!J18,'14'!J18,'15'!J18,'16'!J18,'17'!J18,'18'!J18,'19'!J18,'20'!J18,'21'!J18,'22'!J18,'23'!J18,'24'!J18,'25'!J18,'26'!J18,'27'!J18,'28'!J18,'29'!J18,'30'!J18,'31'!J18)</f>
        <v>0</v>
      </c>
      <c r="Y18" s="30">
        <f>SUM('1'!K18,'2'!K18,'3'!K18,'4'!K18,'5'!K18,'6'!K18,'7'!K18,'8'!K18,'9'!K18,'10'!K18,'11'!K18,'12'!K18,'13'!K18,'14'!K18,'15'!K18,'16'!K18,'17'!K18,'18'!K18,'19'!K18,'20'!K18,'21'!K18,'22'!K18,'23'!K18,'24'!K18,'25'!K18,'26'!K18,'27'!K18,'28'!K18,'29'!K18,'30'!K18,'31'!K18)</f>
        <v>0</v>
      </c>
      <c r="Z18" s="30">
        <f>SUM('1'!L18,'2'!L18,'3'!L18,'4'!L18,'5'!L18,'6'!L18,'7'!L18,'8'!L18,'9'!L18,'10'!L18,'11'!L18,'12'!L18,'13'!L18,'14'!L18,'15'!L18,'16'!L18,'17'!L18,'18'!L18,'19'!L18,'20'!L18,'21'!L18,'22'!L18,'23'!L18,'24'!L18,'25'!L18,'26'!L18,'27'!L18,'28'!L18,'29'!L18,'30'!L18,'31'!L18)</f>
        <v>0</v>
      </c>
      <c r="AA18" s="30">
        <f>SUM('1'!M18,'2'!M18,'3'!M18,'4'!M18,'5'!M18,'6'!M18,'7'!M18,'8'!M18,'9'!M18,'10'!M18,'11'!M18,'12'!M18,'13'!M18,'14'!M18,'15'!M18,'16'!M18,'17'!M18,'18'!M18,'19'!M18,'20'!M18,'21'!M18,'22'!M18,'23'!M18,'24'!M18,'25'!M18,'26'!M18,'27'!M18,'28'!M18,'29'!M18,'30'!M18,'31'!M18)</f>
        <v>0</v>
      </c>
      <c r="AB18" s="30">
        <f>SUM('1'!N18,'2'!N18,'3'!N18,'4'!N18,'5'!N18,'6'!N18,'7'!N18,'8'!N18,'9'!N18,'10'!N18,'11'!N18,'12'!N18,'13'!N18,'14'!N18,'15'!N18,'16'!N18,'17'!N18,'18'!N18,'19'!N18,'20'!N18,'21'!N18,'22'!N18,'23'!N18,'24'!N18,'25'!N18,'26'!N18,'27'!N18,'28'!N18,'29'!N18,'30'!N18,'31'!N18)</f>
        <v>0</v>
      </c>
      <c r="AC18" s="30">
        <f>SUM('1'!O18,'2'!O18,'3'!O18,'4'!O18,'5'!O18,'6'!O18,'7'!O18,'8'!O18,'9'!O18,'10'!O18,'11'!O18,'12'!O18,'13'!O18,'14'!O18,'15'!O18,'16'!O18,'17'!O18,'18'!O18,'19'!O18,'20'!O18,'21'!O18,'22'!O18,'23'!O18,'24'!O18,'25'!O18,'26'!O18,'27'!O18,'28'!O18,'29'!O18,'30'!O18,'31'!O18)</f>
        <v>0</v>
      </c>
    </row>
    <row r="19" spans="1:29" s="30" customFormat="1" ht="12">
      <c r="A19" s="325">
        <v>12</v>
      </c>
      <c r="B19" s="325" t="str">
        <f>IF(АП!B12&lt;&gt;0,АП!B12,"")</f>
        <v>Поиск-10Э</v>
      </c>
      <c r="C19" s="325">
        <f>IF(АП!C12&lt;&gt;0,АП!C12,"")</f>
        <v>2592</v>
      </c>
      <c r="D19" s="326" t="str">
        <f t="shared" si="1"/>
        <v/>
      </c>
      <c r="E19" s="326" t="str">
        <f t="shared" si="2"/>
        <v/>
      </c>
      <c r="F19" s="392" t="str">
        <f t="shared" si="3"/>
        <v/>
      </c>
      <c r="G19" s="392" t="str">
        <f t="shared" si="4"/>
        <v/>
      </c>
      <c r="H19" s="392" t="str">
        <f t="shared" si="5"/>
        <v/>
      </c>
      <c r="I19" s="392" t="str">
        <f t="shared" si="6"/>
        <v/>
      </c>
      <c r="J19" s="392" t="str">
        <f t="shared" si="7"/>
        <v/>
      </c>
      <c r="K19" s="392" t="str">
        <f t="shared" si="8"/>
        <v/>
      </c>
      <c r="L19" s="392" t="str">
        <f t="shared" si="9"/>
        <v/>
      </c>
      <c r="M19" s="130"/>
      <c r="N19" s="37"/>
      <c r="O19" s="35"/>
      <c r="P19" s="35"/>
      <c r="Q19" s="35"/>
      <c r="R19" s="35"/>
      <c r="S19" s="35"/>
      <c r="U19" s="30">
        <f>SUM('1'!G19,'2'!G19,'3'!G19,'4'!G19,'5'!G19,'6'!G19,'7'!G19,'8'!G19,'9'!G19,'10'!G19,'11'!G19,'12'!G19,'13'!G19,'14'!G19,'15'!G19,'16'!G19,'17'!G19,'18'!G19,'19'!G19,'20'!G19,'21'!G19,'22'!G19,'23'!G19,'24'!G19,'25'!G19,'26'!G19,'27'!G19,'28'!G19,'29'!G19,'30'!G19,'31'!G19)</f>
        <v>0</v>
      </c>
      <c r="V19" s="30">
        <f>SUM('1'!H19,'2'!H19,'3'!H19,'4'!H19,'5'!H19,'6'!H19,'7'!H19,'8'!H19,'9'!H19,'10'!H19,'11'!H19,'12'!H19,'13'!H19,'14'!H19,'15'!H19,'16'!H19,'17'!H19,'18'!H19,'19'!H19,'20'!H19,'21'!H19,'22'!H19,'23'!H19,'24'!H19,'25'!H19,'26'!H19,'27'!H19,'28'!H19,'29'!H19,'30'!H19,'31'!H19)</f>
        <v>0</v>
      </c>
      <c r="W19" s="30">
        <f>SUM('1'!I19,'2'!I19,'3'!I19,'4'!I19,'5'!I19,'6'!I19,'7'!I19,'8'!I19,'9'!I19,'10'!I19,'11'!I19,'12'!I19,'13'!I19,'14'!I19,'15'!I19,'16'!I19,'17'!I19,'18'!I19,'19'!I19,'20'!I19,'21'!I19,'22'!I19,'23'!I19,'24'!I19,'25'!I19,'26'!I19,'27'!I19,'28'!I19,'29'!I19,'30'!I19,'31'!I19)</f>
        <v>0</v>
      </c>
      <c r="X19" s="30">
        <f>SUM('1'!J19,'2'!J19,'3'!J19,'4'!J19,'5'!J19,'6'!J19,'7'!J19,'8'!J19,'9'!J19,'10'!J19,'11'!J19,'12'!J19,'13'!J19,'14'!J19,'15'!J19,'16'!J19,'17'!J19,'18'!J19,'19'!J19,'20'!J19,'21'!J19,'22'!J19,'23'!J19,'24'!J19,'25'!J19,'26'!J19,'27'!J19,'28'!J19,'29'!J19,'30'!J19,'31'!J19)</f>
        <v>0</v>
      </c>
      <c r="Y19" s="30">
        <f>SUM('1'!K19,'2'!K19,'3'!K19,'4'!K19,'5'!K19,'6'!K19,'7'!K19,'8'!K19,'9'!K19,'10'!K19,'11'!K19,'12'!K19,'13'!K19,'14'!K19,'15'!K19,'16'!K19,'17'!K19,'18'!K19,'19'!K19,'20'!K19,'21'!K19,'22'!K19,'23'!K19,'24'!K19,'25'!K19,'26'!K19,'27'!K19,'28'!K19,'29'!K19,'30'!K19,'31'!K19)</f>
        <v>0</v>
      </c>
      <c r="Z19" s="30">
        <f>SUM('1'!L19,'2'!L19,'3'!L19,'4'!L19,'5'!L19,'6'!L19,'7'!L19,'8'!L19,'9'!L19,'10'!L19,'11'!L19,'12'!L19,'13'!L19,'14'!L19,'15'!L19,'16'!L19,'17'!L19,'18'!L19,'19'!L19,'20'!L19,'21'!L19,'22'!L19,'23'!L19,'24'!L19,'25'!L19,'26'!L19,'27'!L19,'28'!L19,'29'!L19,'30'!L19,'31'!L19)</f>
        <v>0</v>
      </c>
      <c r="AA19" s="30">
        <f>SUM('1'!M19,'2'!M19,'3'!M19,'4'!M19,'5'!M19,'6'!M19,'7'!M19,'8'!M19,'9'!M19,'10'!M19,'11'!M19,'12'!M19,'13'!M19,'14'!M19,'15'!M19,'16'!M19,'17'!M19,'18'!M19,'19'!M19,'20'!M19,'21'!M19,'22'!M19,'23'!M19,'24'!M19,'25'!M19,'26'!M19,'27'!M19,'28'!M19,'29'!M19,'30'!M19,'31'!M19)</f>
        <v>0</v>
      </c>
      <c r="AB19" s="30">
        <f>SUM('1'!N19,'2'!N19,'3'!N19,'4'!N19,'5'!N19,'6'!N19,'7'!N19,'8'!N19,'9'!N19,'10'!N19,'11'!N19,'12'!N19,'13'!N19,'14'!N19,'15'!N19,'16'!N19,'17'!N19,'18'!N19,'19'!N19,'20'!N19,'21'!N19,'22'!N19,'23'!N19,'24'!N19,'25'!N19,'26'!N19,'27'!N19,'28'!N19,'29'!N19,'30'!N19,'31'!N19)</f>
        <v>0</v>
      </c>
      <c r="AC19" s="30">
        <f>SUM('1'!O19,'2'!O19,'3'!O19,'4'!O19,'5'!O19,'6'!O19,'7'!O19,'8'!O19,'9'!O19,'10'!O19,'11'!O19,'12'!O19,'13'!O19,'14'!O19,'15'!O19,'16'!O19,'17'!O19,'18'!O19,'19'!O19,'20'!O19,'21'!O19,'22'!O19,'23'!O19,'24'!O19,'25'!O19,'26'!O19,'27'!O19,'28'!O19,'29'!O19,'30'!O19,'31'!O19)</f>
        <v>0</v>
      </c>
    </row>
    <row r="20" spans="1:29" s="30" customFormat="1" ht="12">
      <c r="A20" s="325">
        <v>13</v>
      </c>
      <c r="B20" s="325" t="str">
        <f>IF(АП!B13&lt;&gt;0,АП!B13,"")</f>
        <v/>
      </c>
      <c r="C20" s="325" t="str">
        <f>IF(АП!C13&lt;&gt;0,АП!C13,"")</f>
        <v/>
      </c>
      <c r="D20" s="326" t="str">
        <f t="shared" si="1"/>
        <v/>
      </c>
      <c r="E20" s="326" t="str">
        <f t="shared" si="2"/>
        <v/>
      </c>
      <c r="F20" s="392" t="str">
        <f t="shared" si="3"/>
        <v/>
      </c>
      <c r="G20" s="392" t="str">
        <f t="shared" si="4"/>
        <v/>
      </c>
      <c r="H20" s="392" t="str">
        <f t="shared" si="5"/>
        <v/>
      </c>
      <c r="I20" s="392" t="str">
        <f t="shared" si="6"/>
        <v/>
      </c>
      <c r="J20" s="392" t="str">
        <f t="shared" si="7"/>
        <v/>
      </c>
      <c r="K20" s="392" t="str">
        <f t="shared" si="8"/>
        <v/>
      </c>
      <c r="L20" s="392" t="str">
        <f t="shared" si="9"/>
        <v/>
      </c>
      <c r="M20" s="130"/>
      <c r="N20" s="34"/>
      <c r="O20" s="35"/>
      <c r="P20" s="35"/>
      <c r="Q20" s="35"/>
      <c r="R20" s="35"/>
      <c r="S20" s="35"/>
      <c r="U20" s="30">
        <f>SUM('1'!G20,'2'!G20,'3'!G20,'4'!G20,'5'!G20,'6'!G20,'7'!G20,'8'!G20,'9'!G20,'10'!G20,'11'!G20,'12'!G20,'13'!G20,'14'!G20,'15'!G20,'16'!G20,'17'!G20,'18'!G20,'19'!G20,'20'!G20,'21'!G20,'22'!G20,'23'!G20,'24'!G20,'25'!G20,'26'!G20,'27'!G20,'28'!G20,'29'!G20,'30'!G20,'31'!G20)</f>
        <v>0</v>
      </c>
      <c r="V20" s="30">
        <f>SUM('1'!H20,'2'!H20,'3'!H20,'4'!H20,'5'!H20,'6'!H20,'7'!H20,'8'!H20,'9'!H20,'10'!H20,'11'!H20,'12'!H20,'13'!H20,'14'!H20,'15'!H20,'16'!H20,'17'!H20,'18'!H20,'19'!H20,'20'!H20,'21'!H20,'22'!H20,'23'!H20,'24'!H20,'25'!H20,'26'!H20,'27'!H20,'28'!H20,'29'!H20,'30'!H20,'31'!H20)</f>
        <v>0</v>
      </c>
      <c r="W20" s="30">
        <f>SUM('1'!I20,'2'!I20,'3'!I20,'4'!I20,'5'!I20,'6'!I20,'7'!I20,'8'!I20,'9'!I20,'10'!I20,'11'!I20,'12'!I20,'13'!I20,'14'!I20,'15'!I20,'16'!I20,'17'!I20,'18'!I20,'19'!I20,'20'!I20,'21'!I20,'22'!I20,'23'!I20,'24'!I20,'25'!I20,'26'!I20,'27'!I20,'28'!I20,'29'!I20,'30'!I20,'31'!I20)</f>
        <v>0</v>
      </c>
      <c r="X20" s="30">
        <f>SUM('1'!J20,'2'!J20,'3'!J20,'4'!J20,'5'!J20,'6'!J20,'7'!J20,'8'!J20,'9'!J20,'10'!J20,'11'!J20,'12'!J20,'13'!J20,'14'!J20,'15'!J20,'16'!J20,'17'!J20,'18'!J20,'19'!J20,'20'!J20,'21'!J20,'22'!J20,'23'!J20,'24'!J20,'25'!J20,'26'!J20,'27'!J20,'28'!J20,'29'!J20,'30'!J20,'31'!J20)</f>
        <v>0</v>
      </c>
      <c r="Y20" s="30">
        <f>SUM('1'!K20,'2'!K20,'3'!K20,'4'!K20,'5'!K20,'6'!K20,'7'!K20,'8'!K20,'9'!K20,'10'!K20,'11'!K20,'12'!K20,'13'!K20,'14'!K20,'15'!K20,'16'!K20,'17'!K20,'18'!K20,'19'!K20,'20'!K20,'21'!K20,'22'!K20,'23'!K20,'24'!K20,'25'!K20,'26'!K20,'27'!K20,'28'!K20,'29'!K20,'30'!K20,'31'!K20)</f>
        <v>0</v>
      </c>
      <c r="Z20" s="30">
        <f>SUM('1'!L20,'2'!L20,'3'!L20,'4'!L20,'5'!L20,'6'!L20,'7'!L20,'8'!L20,'9'!L20,'10'!L20,'11'!L20,'12'!L20,'13'!L20,'14'!L20,'15'!L20,'16'!L20,'17'!L20,'18'!L20,'19'!L20,'20'!L20,'21'!L20,'22'!L20,'23'!L20,'24'!L20,'25'!L20,'26'!L20,'27'!L20,'28'!L20,'29'!L20,'30'!L20,'31'!L20)</f>
        <v>0</v>
      </c>
      <c r="AA20" s="30">
        <f>SUM('1'!M20,'2'!M20,'3'!M20,'4'!M20,'5'!M20,'6'!M20,'7'!M20,'8'!M20,'9'!M20,'10'!M20,'11'!M20,'12'!M20,'13'!M20,'14'!M20,'15'!M20,'16'!M20,'17'!M20,'18'!M20,'19'!M20,'20'!M20,'21'!M20,'22'!M20,'23'!M20,'24'!M20,'25'!M20,'26'!M20,'27'!M20,'28'!M20,'29'!M20,'30'!M20,'31'!M20)</f>
        <v>0</v>
      </c>
      <c r="AB20" s="30">
        <f>SUM('1'!N20,'2'!N20,'3'!N20,'4'!N20,'5'!N20,'6'!N20,'7'!N20,'8'!N20,'9'!N20,'10'!N20,'11'!N20,'12'!N20,'13'!N20,'14'!N20,'15'!N20,'16'!N20,'17'!N20,'18'!N20,'19'!N20,'20'!N20,'21'!N20,'22'!N20,'23'!N20,'24'!N20,'25'!N20,'26'!N20,'27'!N20,'28'!N20,'29'!N20,'30'!N20,'31'!N20)</f>
        <v>0</v>
      </c>
      <c r="AC20" s="30">
        <f>SUM('1'!O20,'2'!O20,'3'!O20,'4'!O20,'5'!O20,'6'!O20,'7'!O20,'8'!O20,'9'!O20,'10'!O20,'11'!O20,'12'!O20,'13'!O20,'14'!O20,'15'!O20,'16'!O20,'17'!O20,'18'!O20,'19'!O20,'20'!O20,'21'!O20,'22'!O20,'23'!O20,'24'!O20,'25'!O20,'26'!O20,'27'!O20,'28'!O20,'29'!O20,'30'!O20,'31'!O20)</f>
        <v>0</v>
      </c>
    </row>
    <row r="21" spans="1:29" s="30" customFormat="1" ht="12">
      <c r="A21" s="325">
        <v>14</v>
      </c>
      <c r="B21" s="325" t="str">
        <f>IF(АП!B14&lt;&gt;0,АП!B14,"")</f>
        <v/>
      </c>
      <c r="C21" s="325" t="str">
        <f>IF(АП!C14&lt;&gt;0,АП!C14,"")</f>
        <v/>
      </c>
      <c r="D21" s="326" t="str">
        <f t="shared" si="1"/>
        <v/>
      </c>
      <c r="E21" s="326" t="str">
        <f t="shared" si="2"/>
        <v/>
      </c>
      <c r="F21" s="392" t="str">
        <f t="shared" si="3"/>
        <v/>
      </c>
      <c r="G21" s="392" t="str">
        <f t="shared" si="4"/>
        <v/>
      </c>
      <c r="H21" s="392" t="str">
        <f t="shared" si="5"/>
        <v/>
      </c>
      <c r="I21" s="392" t="str">
        <f t="shared" si="6"/>
        <v/>
      </c>
      <c r="J21" s="392" t="str">
        <f t="shared" si="7"/>
        <v/>
      </c>
      <c r="K21" s="392" t="str">
        <f t="shared" si="8"/>
        <v/>
      </c>
      <c r="L21" s="392" t="str">
        <f t="shared" si="9"/>
        <v/>
      </c>
      <c r="M21" s="130"/>
      <c r="N21" s="34"/>
      <c r="O21" s="35"/>
      <c r="P21" s="35"/>
      <c r="Q21" s="35"/>
      <c r="R21" s="35"/>
      <c r="S21" s="35"/>
      <c r="U21" s="30">
        <f>SUM('1'!G21,'2'!G21,'3'!G21,'4'!G21,'5'!G21,'6'!G21,'7'!G21,'8'!G21,'9'!G21,'10'!G21,'11'!G21,'12'!G21,'13'!G21,'14'!G21,'15'!G21,'16'!G21,'17'!G21,'18'!G21,'19'!G21,'20'!G21,'21'!G21,'22'!G21,'23'!G21,'24'!G21,'25'!G21,'26'!G21,'27'!G21,'28'!G21,'29'!G21,'30'!G21,'31'!G21)</f>
        <v>0</v>
      </c>
      <c r="V21" s="30">
        <f>SUM('1'!H21,'2'!H21,'3'!H21,'4'!H21,'5'!H21,'6'!H21,'7'!H21,'8'!H21,'9'!H21,'10'!H21,'11'!H21,'12'!H21,'13'!H21,'14'!H21,'15'!H21,'16'!H21,'17'!H21,'18'!H21,'19'!H21,'20'!H21,'21'!H21,'22'!H21,'23'!H21,'24'!H21,'25'!H21,'26'!H21,'27'!H21,'28'!H21,'29'!H21,'30'!H21,'31'!H21)</f>
        <v>0</v>
      </c>
      <c r="W21" s="30">
        <f>SUM('1'!I21,'2'!I21,'3'!I21,'4'!I21,'5'!I21,'6'!I21,'7'!I21,'8'!I21,'9'!I21,'10'!I21,'11'!I21,'12'!I21,'13'!I21,'14'!I21,'15'!I21,'16'!I21,'17'!I21,'18'!I21,'19'!I21,'20'!I21,'21'!I21,'22'!I21,'23'!I21,'24'!I21,'25'!I21,'26'!I21,'27'!I21,'28'!I21,'29'!I21,'30'!I21,'31'!I21)</f>
        <v>0</v>
      </c>
      <c r="X21" s="30">
        <f>SUM('1'!J21,'2'!J21,'3'!J21,'4'!J21,'5'!J21,'6'!J21,'7'!J21,'8'!J21,'9'!J21,'10'!J21,'11'!J21,'12'!J21,'13'!J21,'14'!J21,'15'!J21,'16'!J21,'17'!J21,'18'!J21,'19'!J21,'20'!J21,'21'!J21,'22'!J21,'23'!J21,'24'!J21,'25'!J21,'26'!J21,'27'!J21,'28'!J21,'29'!J21,'30'!J21,'31'!J21)</f>
        <v>0</v>
      </c>
      <c r="Y21" s="30">
        <f>SUM('1'!K21,'2'!K21,'3'!K21,'4'!K21,'5'!K21,'6'!K21,'7'!K21,'8'!K21,'9'!K21,'10'!K21,'11'!K21,'12'!K21,'13'!K21,'14'!K21,'15'!K21,'16'!K21,'17'!K21,'18'!K21,'19'!K21,'20'!K21,'21'!K21,'22'!K21,'23'!K21,'24'!K21,'25'!K21,'26'!K21,'27'!K21,'28'!K21,'29'!K21,'30'!K21,'31'!K21)</f>
        <v>0</v>
      </c>
      <c r="Z21" s="30">
        <f>SUM('1'!L21,'2'!L21,'3'!L21,'4'!L21,'5'!L21,'6'!L21,'7'!L21,'8'!L21,'9'!L21,'10'!L21,'11'!L21,'12'!L21,'13'!L21,'14'!L21,'15'!L21,'16'!L21,'17'!L21,'18'!L21,'19'!L21,'20'!L21,'21'!L21,'22'!L21,'23'!L21,'24'!L21,'25'!L21,'26'!L21,'27'!L21,'28'!L21,'29'!L21,'30'!L21,'31'!L21)</f>
        <v>0</v>
      </c>
      <c r="AA21" s="30">
        <f>SUM('1'!M21,'2'!M21,'3'!M21,'4'!M21,'5'!M21,'6'!M21,'7'!M21,'8'!M21,'9'!M21,'10'!M21,'11'!M21,'12'!M21,'13'!M21,'14'!M21,'15'!M21,'16'!M21,'17'!M21,'18'!M21,'19'!M21,'20'!M21,'21'!M21,'22'!M21,'23'!M21,'24'!M21,'25'!M21,'26'!M21,'27'!M21,'28'!M21,'29'!M21,'30'!M21,'31'!M21)</f>
        <v>0</v>
      </c>
      <c r="AB21" s="30">
        <f>SUM('1'!N21,'2'!N21,'3'!N21,'4'!N21,'5'!N21,'6'!N21,'7'!N21,'8'!N21,'9'!N21,'10'!N21,'11'!N21,'12'!N21,'13'!N21,'14'!N21,'15'!N21,'16'!N21,'17'!N21,'18'!N21,'19'!N21,'20'!N21,'21'!N21,'22'!N21,'23'!N21,'24'!N21,'25'!N21,'26'!N21,'27'!N21,'28'!N21,'29'!N21,'30'!N21,'31'!N21)</f>
        <v>0</v>
      </c>
      <c r="AC21" s="30">
        <f>SUM('1'!O21,'2'!O21,'3'!O21,'4'!O21,'5'!O21,'6'!O21,'7'!O21,'8'!O21,'9'!O21,'10'!O21,'11'!O21,'12'!O21,'13'!O21,'14'!O21,'15'!O21,'16'!O21,'17'!O21,'18'!O21,'19'!O21,'20'!O21,'21'!O21,'22'!O21,'23'!O21,'24'!O21,'25'!O21,'26'!O21,'27'!O21,'28'!O21,'29'!O21,'30'!O21,'31'!O21)</f>
        <v>0</v>
      </c>
    </row>
    <row r="22" spans="1:29" s="30" customFormat="1" ht="12">
      <c r="A22" s="325">
        <v>15</v>
      </c>
      <c r="B22" s="325" t="str">
        <f>IF(АП!B15&lt;&gt;0,АП!B15,"")</f>
        <v/>
      </c>
      <c r="C22" s="325" t="str">
        <f>IF(АП!C15&lt;&gt;0,АП!C15,"")</f>
        <v/>
      </c>
      <c r="D22" s="326" t="str">
        <f t="shared" si="1"/>
        <v/>
      </c>
      <c r="E22" s="326" t="str">
        <f t="shared" si="2"/>
        <v/>
      </c>
      <c r="F22" s="392" t="str">
        <f t="shared" si="3"/>
        <v/>
      </c>
      <c r="G22" s="392" t="str">
        <f t="shared" si="4"/>
        <v/>
      </c>
      <c r="H22" s="392" t="str">
        <f t="shared" si="5"/>
        <v/>
      </c>
      <c r="I22" s="392" t="str">
        <f t="shared" si="6"/>
        <v/>
      </c>
      <c r="J22" s="392" t="str">
        <f t="shared" si="7"/>
        <v/>
      </c>
      <c r="K22" s="392" t="str">
        <f t="shared" si="8"/>
        <v/>
      </c>
      <c r="L22" s="392" t="str">
        <f t="shared" si="9"/>
        <v/>
      </c>
      <c r="M22" s="130"/>
      <c r="N22" s="34"/>
      <c r="O22" s="35"/>
      <c r="P22" s="35"/>
      <c r="Q22" s="35"/>
      <c r="R22" s="35"/>
      <c r="S22" s="35"/>
      <c r="U22" s="30">
        <f>SUM('1'!G22,'2'!G22,'3'!G22,'4'!G22,'5'!G22,'6'!G22,'7'!G22,'8'!G22,'9'!G22,'10'!G22,'11'!G22,'12'!G22,'13'!G22,'14'!G22,'15'!G22,'16'!G22,'17'!G22,'18'!G22,'19'!G22,'20'!G22,'21'!G22,'22'!G22,'23'!G22,'24'!G22,'25'!G22,'26'!G22,'27'!G22,'28'!G22,'29'!G22,'30'!G22,'31'!G22)</f>
        <v>0</v>
      </c>
      <c r="V22" s="30">
        <f>SUM('1'!H22,'2'!H22,'3'!H22,'4'!H22,'5'!H22,'6'!H22,'7'!H22,'8'!H22,'9'!H22,'10'!H22,'11'!H22,'12'!H22,'13'!H22,'14'!H22,'15'!H22,'16'!H22,'17'!H22,'18'!H22,'19'!H22,'20'!H22,'21'!H22,'22'!H22,'23'!H22,'24'!H22,'25'!H22,'26'!H22,'27'!H22,'28'!H22,'29'!H22,'30'!H22,'31'!H22)</f>
        <v>0</v>
      </c>
      <c r="W22" s="30">
        <f>SUM('1'!I22,'2'!I22,'3'!I22,'4'!I22,'5'!I22,'6'!I22,'7'!I22,'8'!I22,'9'!I22,'10'!I22,'11'!I22,'12'!I22,'13'!I22,'14'!I22,'15'!I22,'16'!I22,'17'!I22,'18'!I22,'19'!I22,'20'!I22,'21'!I22,'22'!I22,'23'!I22,'24'!I22,'25'!I22,'26'!I22,'27'!I22,'28'!I22,'29'!I22,'30'!I22,'31'!I22)</f>
        <v>0</v>
      </c>
      <c r="X22" s="30">
        <f>SUM('1'!J22,'2'!J22,'3'!J22,'4'!J22,'5'!J22,'6'!J22,'7'!J22,'8'!J22,'9'!J22,'10'!J22,'11'!J22,'12'!J22,'13'!J22,'14'!J22,'15'!J22,'16'!J22,'17'!J22,'18'!J22,'19'!J22,'20'!J22,'21'!J22,'22'!J22,'23'!J22,'24'!J22,'25'!J22,'26'!J22,'27'!J22,'28'!J22,'29'!J22,'30'!J22,'31'!J22)</f>
        <v>0</v>
      </c>
      <c r="Y22" s="30">
        <f>SUM('1'!K22,'2'!K22,'3'!K22,'4'!K22,'5'!K22,'6'!K22,'7'!K22,'8'!K22,'9'!K22,'10'!K22,'11'!K22,'12'!K22,'13'!K22,'14'!K22,'15'!K22,'16'!K22,'17'!K22,'18'!K22,'19'!K22,'20'!K22,'21'!K22,'22'!K22,'23'!K22,'24'!K22,'25'!K22,'26'!K22,'27'!K22,'28'!K22,'29'!K22,'30'!K22,'31'!K22)</f>
        <v>0</v>
      </c>
      <c r="Z22" s="30">
        <f>SUM('1'!L22,'2'!L22,'3'!L22,'4'!L22,'5'!L22,'6'!L22,'7'!L22,'8'!L22,'9'!L22,'10'!L22,'11'!L22,'12'!L22,'13'!L22,'14'!L22,'15'!L22,'16'!L22,'17'!L22,'18'!L22,'19'!L22,'20'!L22,'21'!L22,'22'!L22,'23'!L22,'24'!L22,'25'!L22,'26'!L22,'27'!L22,'28'!L22,'29'!L22,'30'!L22,'31'!L22)</f>
        <v>0</v>
      </c>
      <c r="AA22" s="30">
        <f>SUM('1'!M22,'2'!M22,'3'!M22,'4'!M22,'5'!M22,'6'!M22,'7'!M22,'8'!M22,'9'!M22,'10'!M22,'11'!M22,'12'!M22,'13'!M22,'14'!M22,'15'!M22,'16'!M22,'17'!M22,'18'!M22,'19'!M22,'20'!M22,'21'!M22,'22'!M22,'23'!M22,'24'!M22,'25'!M22,'26'!M22,'27'!M22,'28'!M22,'29'!M22,'30'!M22,'31'!M22)</f>
        <v>0</v>
      </c>
      <c r="AB22" s="30">
        <f>SUM('1'!N22,'2'!N22,'3'!N22,'4'!N22,'5'!N22,'6'!N22,'7'!N22,'8'!N22,'9'!N22,'10'!N22,'11'!N22,'12'!N22,'13'!N22,'14'!N22,'15'!N22,'16'!N22,'17'!N22,'18'!N22,'19'!N22,'20'!N22,'21'!N22,'22'!N22,'23'!N22,'24'!N22,'25'!N22,'26'!N22,'27'!N22,'28'!N22,'29'!N22,'30'!N22,'31'!N22)</f>
        <v>0</v>
      </c>
      <c r="AC22" s="30">
        <f>SUM('1'!O22,'2'!O22,'3'!O22,'4'!O22,'5'!O22,'6'!O22,'7'!O22,'8'!O22,'9'!O22,'10'!O22,'11'!O22,'12'!O22,'13'!O22,'14'!O22,'15'!O22,'16'!O22,'17'!O22,'18'!O22,'19'!O22,'20'!O22,'21'!O22,'22'!O22,'23'!O22,'24'!O22,'25'!O22,'26'!O22,'27'!O22,'28'!O22,'29'!O22,'30'!O22,'31'!O22)</f>
        <v>0</v>
      </c>
    </row>
    <row r="23" spans="1:29" s="30" customFormat="1" ht="12">
      <c r="A23" s="325">
        <v>16</v>
      </c>
      <c r="B23" s="325" t="str">
        <f>IF(АП!B16&lt;&gt;0,АП!B16,"")</f>
        <v/>
      </c>
      <c r="C23" s="325" t="str">
        <f>IF(АП!C16&lt;&gt;0,АП!C16,"")</f>
        <v/>
      </c>
      <c r="D23" s="326" t="str">
        <f t="shared" si="1"/>
        <v/>
      </c>
      <c r="E23" s="326" t="str">
        <f t="shared" si="2"/>
        <v/>
      </c>
      <c r="F23" s="392" t="str">
        <f t="shared" si="3"/>
        <v/>
      </c>
      <c r="G23" s="392" t="str">
        <f t="shared" si="4"/>
        <v/>
      </c>
      <c r="H23" s="392" t="str">
        <f t="shared" si="5"/>
        <v/>
      </c>
      <c r="I23" s="392" t="str">
        <f t="shared" si="6"/>
        <v/>
      </c>
      <c r="J23" s="392" t="str">
        <f t="shared" si="7"/>
        <v/>
      </c>
      <c r="K23" s="392" t="str">
        <f t="shared" si="8"/>
        <v/>
      </c>
      <c r="L23" s="392" t="str">
        <f t="shared" si="9"/>
        <v/>
      </c>
      <c r="M23" s="130"/>
      <c r="N23" s="32"/>
      <c r="O23" s="3"/>
      <c r="P23" s="3"/>
      <c r="Q23" s="3"/>
      <c r="R23" s="3"/>
      <c r="S23" s="3"/>
      <c r="U23" s="30">
        <f>SUM('1'!G23,'2'!G23,'3'!G23,'4'!G23,'5'!G23,'6'!G23,'7'!G23,'8'!G23,'9'!G23,'10'!G23,'11'!G23,'12'!G23,'13'!G23,'14'!G23,'15'!G23,'16'!G23,'17'!G23,'18'!G23,'19'!G23,'20'!G23,'21'!G23,'22'!G23,'23'!G23,'24'!G23,'25'!G23,'26'!G23,'27'!G23,'28'!G23,'29'!G23,'30'!G23,'31'!G23)</f>
        <v>0</v>
      </c>
      <c r="V23" s="30">
        <f>SUM('1'!H23,'2'!H23,'3'!H23,'4'!H23,'5'!H23,'6'!H23,'7'!H23,'8'!H23,'9'!H23,'10'!H23,'11'!H23,'12'!H23,'13'!H23,'14'!H23,'15'!H23,'16'!H23,'17'!H23,'18'!H23,'19'!H23,'20'!H23,'21'!H23,'22'!H23,'23'!H23,'24'!H23,'25'!H23,'26'!H23,'27'!H23,'28'!H23,'29'!H23,'30'!H23,'31'!H23)</f>
        <v>0</v>
      </c>
      <c r="W23" s="30">
        <f>SUM('1'!I23,'2'!I23,'3'!I23,'4'!I23,'5'!I23,'6'!I23,'7'!I23,'8'!I23,'9'!I23,'10'!I23,'11'!I23,'12'!I23,'13'!I23,'14'!I23,'15'!I23,'16'!I23,'17'!I23,'18'!I23,'19'!I23,'20'!I23,'21'!I23,'22'!I23,'23'!I23,'24'!I23,'25'!I23,'26'!I23,'27'!I23,'28'!I23,'29'!I23,'30'!I23,'31'!I23)</f>
        <v>0</v>
      </c>
      <c r="X23" s="30">
        <f>SUM('1'!J23,'2'!J23,'3'!J23,'4'!J23,'5'!J23,'6'!J23,'7'!J23,'8'!J23,'9'!J23,'10'!J23,'11'!J23,'12'!J23,'13'!J23,'14'!J23,'15'!J23,'16'!J23,'17'!J23,'18'!J23,'19'!J23,'20'!J23,'21'!J23,'22'!J23,'23'!J23,'24'!J23,'25'!J23,'26'!J23,'27'!J23,'28'!J23,'29'!J23,'30'!J23,'31'!J23)</f>
        <v>0</v>
      </c>
      <c r="Y23" s="30">
        <f>SUM('1'!K23,'2'!K23,'3'!K23,'4'!K23,'5'!K23,'6'!K23,'7'!K23,'8'!K23,'9'!K23,'10'!K23,'11'!K23,'12'!K23,'13'!K23,'14'!K23,'15'!K23,'16'!K23,'17'!K23,'18'!K23,'19'!K23,'20'!K23,'21'!K23,'22'!K23,'23'!K23,'24'!K23,'25'!K23,'26'!K23,'27'!K23,'28'!K23,'29'!K23,'30'!K23,'31'!K23)</f>
        <v>0</v>
      </c>
      <c r="Z23" s="30">
        <f>SUM('1'!L23,'2'!L23,'3'!L23,'4'!L23,'5'!L23,'6'!L23,'7'!L23,'8'!L23,'9'!L23,'10'!L23,'11'!L23,'12'!L23,'13'!L23,'14'!L23,'15'!L23,'16'!L23,'17'!L23,'18'!L23,'19'!L23,'20'!L23,'21'!L23,'22'!L23,'23'!L23,'24'!L23,'25'!L23,'26'!L23,'27'!L23,'28'!L23,'29'!L23,'30'!L23,'31'!L23)</f>
        <v>0</v>
      </c>
      <c r="AA23" s="30">
        <f>SUM('1'!M23,'2'!M23,'3'!M23,'4'!M23,'5'!M23,'6'!M23,'7'!M23,'8'!M23,'9'!M23,'10'!M23,'11'!M23,'12'!M23,'13'!M23,'14'!M23,'15'!M23,'16'!M23,'17'!M23,'18'!M23,'19'!M23,'20'!M23,'21'!M23,'22'!M23,'23'!M23,'24'!M23,'25'!M23,'26'!M23,'27'!M23,'28'!M23,'29'!M23,'30'!M23,'31'!M23)</f>
        <v>0</v>
      </c>
      <c r="AB23" s="30">
        <f>SUM('1'!N23,'2'!N23,'3'!N23,'4'!N23,'5'!N23,'6'!N23,'7'!N23,'8'!N23,'9'!N23,'10'!N23,'11'!N23,'12'!N23,'13'!N23,'14'!N23,'15'!N23,'16'!N23,'17'!N23,'18'!N23,'19'!N23,'20'!N23,'21'!N23,'22'!N23,'23'!N23,'24'!N23,'25'!N23,'26'!N23,'27'!N23,'28'!N23,'29'!N23,'30'!N23,'31'!N23)</f>
        <v>0</v>
      </c>
      <c r="AC23" s="30">
        <f>SUM('1'!O23,'2'!O23,'3'!O23,'4'!O23,'5'!O23,'6'!O23,'7'!O23,'8'!O23,'9'!O23,'10'!O23,'11'!O23,'12'!O23,'13'!O23,'14'!O23,'15'!O23,'16'!O23,'17'!O23,'18'!O23,'19'!O23,'20'!O23,'21'!O23,'22'!O23,'23'!O23,'24'!O23,'25'!O23,'26'!O23,'27'!O23,'28'!O23,'29'!O23,'30'!O23,'31'!O23)</f>
        <v>0</v>
      </c>
    </row>
    <row r="24" spans="1:29" s="30" customFormat="1" ht="12">
      <c r="A24" s="325">
        <v>17</v>
      </c>
      <c r="B24" s="325" t="str">
        <f>IF(АП!B17&lt;&gt;0,АП!B17,"")</f>
        <v/>
      </c>
      <c r="C24" s="325" t="str">
        <f>IF(АП!C17&lt;&gt;0,АП!C17,"")</f>
        <v/>
      </c>
      <c r="D24" s="326" t="str">
        <f t="shared" si="1"/>
        <v/>
      </c>
      <c r="E24" s="326" t="str">
        <f t="shared" si="2"/>
        <v/>
      </c>
      <c r="F24" s="392" t="str">
        <f t="shared" si="3"/>
        <v/>
      </c>
      <c r="G24" s="392" t="str">
        <f t="shared" si="4"/>
        <v/>
      </c>
      <c r="H24" s="392" t="str">
        <f t="shared" si="5"/>
        <v/>
      </c>
      <c r="I24" s="392" t="str">
        <f t="shared" si="6"/>
        <v/>
      </c>
      <c r="J24" s="392" t="str">
        <f t="shared" si="7"/>
        <v/>
      </c>
      <c r="K24" s="392" t="str">
        <f t="shared" si="8"/>
        <v/>
      </c>
      <c r="L24" s="392" t="str">
        <f t="shared" si="9"/>
        <v/>
      </c>
      <c r="M24" s="130"/>
      <c r="N24" s="32"/>
      <c r="O24" s="3"/>
      <c r="P24" s="3"/>
      <c r="Q24" s="3"/>
      <c r="R24" s="3"/>
      <c r="S24" s="3"/>
      <c r="U24" s="30">
        <f>SUM('1'!G24,'2'!G24,'3'!G24,'4'!G24,'5'!G24,'6'!G24,'7'!G24,'8'!G24,'9'!G24,'10'!G24,'11'!G24,'12'!G24,'13'!G24,'14'!G24,'15'!G24,'16'!G24,'17'!G24,'18'!G24,'19'!G24,'20'!G24,'21'!G24,'22'!G24,'23'!G24,'24'!G24,'25'!G24,'26'!G24,'27'!G24,'28'!G24,'29'!G24,'30'!G24,'31'!G24)</f>
        <v>0</v>
      </c>
      <c r="V24" s="30">
        <f>SUM('1'!H24,'2'!H24,'3'!H24,'4'!H24,'5'!H24,'6'!H24,'7'!H24,'8'!H24,'9'!H24,'10'!H24,'11'!H24,'12'!H24,'13'!H24,'14'!H24,'15'!H24,'16'!H24,'17'!H24,'18'!H24,'19'!H24,'20'!H24,'21'!H24,'22'!H24,'23'!H24,'24'!H24,'25'!H24,'26'!H24,'27'!H24,'28'!H24,'29'!H24,'30'!H24,'31'!H24)</f>
        <v>0</v>
      </c>
      <c r="W24" s="30">
        <f>SUM('1'!I24,'2'!I24,'3'!I24,'4'!I24,'5'!I24,'6'!I24,'7'!I24,'8'!I24,'9'!I24,'10'!I24,'11'!I24,'12'!I24,'13'!I24,'14'!I24,'15'!I24,'16'!I24,'17'!I24,'18'!I24,'19'!I24,'20'!I24,'21'!I24,'22'!I24,'23'!I24,'24'!I24,'25'!I24,'26'!I24,'27'!I24,'28'!I24,'29'!I24,'30'!I24,'31'!I24)</f>
        <v>0</v>
      </c>
      <c r="X24" s="30">
        <f>SUM('1'!J24,'2'!J24,'3'!J24,'4'!J24,'5'!J24,'6'!J24,'7'!J24,'8'!J24,'9'!J24,'10'!J24,'11'!J24,'12'!J24,'13'!J24,'14'!J24,'15'!J24,'16'!J24,'17'!J24,'18'!J24,'19'!J24,'20'!J24,'21'!J24,'22'!J24,'23'!J24,'24'!J24,'25'!J24,'26'!J24,'27'!J24,'28'!J24,'29'!J24,'30'!J24,'31'!J24)</f>
        <v>0</v>
      </c>
      <c r="Y24" s="30">
        <f>SUM('1'!K24,'2'!K24,'3'!K24,'4'!K24,'5'!K24,'6'!K24,'7'!K24,'8'!K24,'9'!K24,'10'!K24,'11'!K24,'12'!K24,'13'!K24,'14'!K24,'15'!K24,'16'!K24,'17'!K24,'18'!K24,'19'!K24,'20'!K24,'21'!K24,'22'!K24,'23'!K24,'24'!K24,'25'!K24,'26'!K24,'27'!K24,'28'!K24,'29'!K24,'30'!K24,'31'!K24)</f>
        <v>0</v>
      </c>
      <c r="Z24" s="30">
        <f>SUM('1'!L24,'2'!L24,'3'!L24,'4'!L24,'5'!L24,'6'!L24,'7'!L24,'8'!L24,'9'!L24,'10'!L24,'11'!L24,'12'!L24,'13'!L24,'14'!L24,'15'!L24,'16'!L24,'17'!L24,'18'!L24,'19'!L24,'20'!L24,'21'!L24,'22'!L24,'23'!L24,'24'!L24,'25'!L24,'26'!L24,'27'!L24,'28'!L24,'29'!L24,'30'!L24,'31'!L24)</f>
        <v>0</v>
      </c>
      <c r="AA24" s="30">
        <f>SUM('1'!M24,'2'!M24,'3'!M24,'4'!M24,'5'!M24,'6'!M24,'7'!M24,'8'!M24,'9'!M24,'10'!M24,'11'!M24,'12'!M24,'13'!M24,'14'!M24,'15'!M24,'16'!M24,'17'!M24,'18'!M24,'19'!M24,'20'!M24,'21'!M24,'22'!M24,'23'!M24,'24'!M24,'25'!M24,'26'!M24,'27'!M24,'28'!M24,'29'!M24,'30'!M24,'31'!M24)</f>
        <v>0</v>
      </c>
      <c r="AB24" s="30">
        <f>SUM('1'!N24,'2'!N24,'3'!N24,'4'!N24,'5'!N24,'6'!N24,'7'!N24,'8'!N24,'9'!N24,'10'!N24,'11'!N24,'12'!N24,'13'!N24,'14'!N24,'15'!N24,'16'!N24,'17'!N24,'18'!N24,'19'!N24,'20'!N24,'21'!N24,'22'!N24,'23'!N24,'24'!N24,'25'!N24,'26'!N24,'27'!N24,'28'!N24,'29'!N24,'30'!N24,'31'!N24)</f>
        <v>0</v>
      </c>
      <c r="AC24" s="30">
        <f>SUM('1'!O24,'2'!O24,'3'!O24,'4'!O24,'5'!O24,'6'!O24,'7'!O24,'8'!O24,'9'!O24,'10'!O24,'11'!O24,'12'!O24,'13'!O24,'14'!O24,'15'!O24,'16'!O24,'17'!O24,'18'!O24,'19'!O24,'20'!O24,'21'!O24,'22'!O24,'23'!O24,'24'!O24,'25'!O24,'26'!O24,'27'!O24,'28'!O24,'29'!O24,'30'!O24,'31'!O24)</f>
        <v>0</v>
      </c>
    </row>
    <row r="25" spans="1:29" s="30" customFormat="1" ht="12">
      <c r="A25" s="325">
        <v>18</v>
      </c>
      <c r="B25" s="325" t="str">
        <f>IF(АП!B18&lt;&gt;0,АП!B18,"")</f>
        <v/>
      </c>
      <c r="C25" s="325" t="str">
        <f>IF(АП!C18&lt;&gt;0,АП!C18,"")</f>
        <v/>
      </c>
      <c r="D25" s="326" t="str">
        <f t="shared" si="1"/>
        <v/>
      </c>
      <c r="E25" s="326" t="str">
        <f t="shared" si="2"/>
        <v/>
      </c>
      <c r="F25" s="392" t="str">
        <f t="shared" si="3"/>
        <v/>
      </c>
      <c r="G25" s="392" t="str">
        <f t="shared" si="4"/>
        <v/>
      </c>
      <c r="H25" s="392" t="str">
        <f t="shared" si="5"/>
        <v/>
      </c>
      <c r="I25" s="392" t="str">
        <f t="shared" si="6"/>
        <v/>
      </c>
      <c r="J25" s="392" t="str">
        <f t="shared" si="7"/>
        <v/>
      </c>
      <c r="K25" s="392" t="str">
        <f t="shared" si="8"/>
        <v/>
      </c>
      <c r="L25" s="392" t="str">
        <f t="shared" si="9"/>
        <v/>
      </c>
      <c r="M25" s="130"/>
      <c r="N25" s="32"/>
      <c r="O25" s="3"/>
      <c r="P25" s="3"/>
      <c r="Q25" s="3"/>
      <c r="R25" s="3"/>
      <c r="S25" s="3"/>
      <c r="U25" s="30">
        <f>SUM('1'!G25,'2'!G25,'3'!G25,'4'!G25,'5'!G25,'6'!G25,'7'!G25,'8'!G25,'9'!G25,'10'!G25,'11'!G25,'12'!G25,'13'!G25,'14'!G25,'15'!G25,'16'!G25,'17'!G25,'18'!G25,'19'!G25,'20'!G25,'21'!G25,'22'!G25,'23'!G25,'24'!G25,'25'!G25,'26'!G25,'27'!G25,'28'!G25,'29'!G25,'30'!G25,'31'!G25)</f>
        <v>0</v>
      </c>
      <c r="V25" s="30">
        <f>SUM('1'!H25,'2'!H25,'3'!H25,'4'!H25,'5'!H25,'6'!H25,'7'!H25,'8'!H25,'9'!H25,'10'!H25,'11'!H25,'12'!H25,'13'!H25,'14'!H25,'15'!H25,'16'!H25,'17'!H25,'18'!H25,'19'!H25,'20'!H25,'21'!H25,'22'!H25,'23'!H25,'24'!H25,'25'!H25,'26'!H25,'27'!H25,'28'!H25,'29'!H25,'30'!H25,'31'!H25)</f>
        <v>0</v>
      </c>
      <c r="W25" s="30">
        <f>SUM('1'!I25,'2'!I25,'3'!I25,'4'!I25,'5'!I25,'6'!I25,'7'!I25,'8'!I25,'9'!I25,'10'!I25,'11'!I25,'12'!I25,'13'!I25,'14'!I25,'15'!I25,'16'!I25,'17'!I25,'18'!I25,'19'!I25,'20'!I25,'21'!I25,'22'!I25,'23'!I25,'24'!I25,'25'!I25,'26'!I25,'27'!I25,'28'!I25,'29'!I25,'30'!I25,'31'!I25)</f>
        <v>0</v>
      </c>
      <c r="X25" s="30">
        <f>SUM('1'!J25,'2'!J25,'3'!J25,'4'!J25,'5'!J25,'6'!J25,'7'!J25,'8'!J25,'9'!J25,'10'!J25,'11'!J25,'12'!J25,'13'!J25,'14'!J25,'15'!J25,'16'!J25,'17'!J25,'18'!J25,'19'!J25,'20'!J25,'21'!J25,'22'!J25,'23'!J25,'24'!J25,'25'!J25,'26'!J25,'27'!J25,'28'!J25,'29'!J25,'30'!J25,'31'!J25)</f>
        <v>0</v>
      </c>
      <c r="Y25" s="30">
        <f>SUM('1'!K25,'2'!K25,'3'!K25,'4'!K25,'5'!K25,'6'!K25,'7'!K25,'8'!K25,'9'!K25,'10'!K25,'11'!K25,'12'!K25,'13'!K25,'14'!K25,'15'!K25,'16'!K25,'17'!K25,'18'!K25,'19'!K25,'20'!K25,'21'!K25,'22'!K25,'23'!K25,'24'!K25,'25'!K25,'26'!K25,'27'!K25,'28'!K25,'29'!K25,'30'!K25,'31'!K25)</f>
        <v>0</v>
      </c>
      <c r="Z25" s="30">
        <f>SUM('1'!L25,'2'!L25,'3'!L25,'4'!L25,'5'!L25,'6'!L25,'7'!L25,'8'!L25,'9'!L25,'10'!L25,'11'!L25,'12'!L25,'13'!L25,'14'!L25,'15'!L25,'16'!L25,'17'!L25,'18'!L25,'19'!L25,'20'!L25,'21'!L25,'22'!L25,'23'!L25,'24'!L25,'25'!L25,'26'!L25,'27'!L25,'28'!L25,'29'!L25,'30'!L25,'31'!L25)</f>
        <v>0</v>
      </c>
      <c r="AA25" s="30">
        <f>SUM('1'!M25,'2'!M25,'3'!M25,'4'!M25,'5'!M25,'6'!M25,'7'!M25,'8'!M25,'9'!M25,'10'!M25,'11'!M25,'12'!M25,'13'!M25,'14'!M25,'15'!M25,'16'!M25,'17'!M25,'18'!M25,'19'!M25,'20'!M25,'21'!M25,'22'!M25,'23'!M25,'24'!M25,'25'!M25,'26'!M25,'27'!M25,'28'!M25,'29'!M25,'30'!M25,'31'!M25)</f>
        <v>0</v>
      </c>
      <c r="AB25" s="30">
        <f>SUM('1'!N25,'2'!N25,'3'!N25,'4'!N25,'5'!N25,'6'!N25,'7'!N25,'8'!N25,'9'!N25,'10'!N25,'11'!N25,'12'!N25,'13'!N25,'14'!N25,'15'!N25,'16'!N25,'17'!N25,'18'!N25,'19'!N25,'20'!N25,'21'!N25,'22'!N25,'23'!N25,'24'!N25,'25'!N25,'26'!N25,'27'!N25,'28'!N25,'29'!N25,'30'!N25,'31'!N25)</f>
        <v>0</v>
      </c>
      <c r="AC25" s="30">
        <f>SUM('1'!O25,'2'!O25,'3'!O25,'4'!O25,'5'!O25,'6'!O25,'7'!O25,'8'!O25,'9'!O25,'10'!O25,'11'!O25,'12'!O25,'13'!O25,'14'!O25,'15'!O25,'16'!O25,'17'!O25,'18'!O25,'19'!O25,'20'!O25,'21'!O25,'22'!O25,'23'!O25,'24'!O25,'25'!O25,'26'!O25,'27'!O25,'28'!O25,'29'!O25,'30'!O25,'31'!O25)</f>
        <v>0</v>
      </c>
    </row>
    <row r="26" spans="1:29" s="30" customFormat="1" ht="12">
      <c r="A26" s="325">
        <v>19</v>
      </c>
      <c r="B26" s="325" t="str">
        <f>IF(АП!B19&lt;&gt;0,АП!B19,"")</f>
        <v/>
      </c>
      <c r="C26" s="325" t="str">
        <f>IF(АП!C19&lt;&gt;0,АП!C19,"")</f>
        <v/>
      </c>
      <c r="D26" s="326" t="str">
        <f t="shared" si="1"/>
        <v/>
      </c>
      <c r="E26" s="326" t="str">
        <f t="shared" si="2"/>
        <v/>
      </c>
      <c r="F26" s="392" t="str">
        <f t="shared" si="3"/>
        <v/>
      </c>
      <c r="G26" s="392" t="str">
        <f t="shared" si="4"/>
        <v/>
      </c>
      <c r="H26" s="392" t="str">
        <f t="shared" si="5"/>
        <v/>
      </c>
      <c r="I26" s="392" t="str">
        <f t="shared" si="6"/>
        <v/>
      </c>
      <c r="J26" s="392" t="str">
        <f t="shared" si="7"/>
        <v/>
      </c>
      <c r="K26" s="392" t="str">
        <f t="shared" si="8"/>
        <v/>
      </c>
      <c r="L26" s="392" t="str">
        <f t="shared" si="9"/>
        <v/>
      </c>
      <c r="M26" s="130"/>
      <c r="N26" s="32"/>
      <c r="O26" s="3"/>
      <c r="P26" s="3"/>
      <c r="Q26" s="3"/>
      <c r="R26" s="3"/>
      <c r="S26" s="3"/>
      <c r="U26" s="30">
        <f>SUM('1'!G26,'2'!G26,'3'!G26,'4'!G26,'5'!G26,'6'!G26,'7'!G26,'8'!G26,'9'!G26,'10'!G26,'11'!G26,'12'!G26,'13'!G26,'14'!G26,'15'!G26,'16'!G26,'17'!G26,'18'!G26,'19'!G26,'20'!G26,'21'!G26,'22'!G26,'23'!G26,'24'!G26,'25'!G26,'26'!G26,'27'!G26,'28'!G26,'29'!G26,'30'!G26,'31'!G26)</f>
        <v>0</v>
      </c>
      <c r="V26" s="30">
        <f>SUM('1'!H26,'2'!H26,'3'!H26,'4'!H26,'5'!H26,'6'!H26,'7'!H26,'8'!H26,'9'!H26,'10'!H26,'11'!H26,'12'!H26,'13'!H26,'14'!H26,'15'!H26,'16'!H26,'17'!H26,'18'!H26,'19'!H26,'20'!H26,'21'!H26,'22'!H26,'23'!H26,'24'!H26,'25'!H26,'26'!H26,'27'!H26,'28'!H26,'29'!H26,'30'!H26,'31'!H26)</f>
        <v>0</v>
      </c>
      <c r="W26" s="30">
        <f>SUM('1'!I26,'2'!I26,'3'!I26,'4'!I26,'5'!I26,'6'!I26,'7'!I26,'8'!I26,'9'!I26,'10'!I26,'11'!I26,'12'!I26,'13'!I26,'14'!I26,'15'!I26,'16'!I26,'17'!I26,'18'!I26,'19'!I26,'20'!I26,'21'!I26,'22'!I26,'23'!I26,'24'!I26,'25'!I26,'26'!I26,'27'!I26,'28'!I26,'29'!I26,'30'!I26,'31'!I26)</f>
        <v>0</v>
      </c>
      <c r="X26" s="30">
        <f>SUM('1'!J26,'2'!J26,'3'!J26,'4'!J26,'5'!J26,'6'!J26,'7'!J26,'8'!J26,'9'!J26,'10'!J26,'11'!J26,'12'!J26,'13'!J26,'14'!J26,'15'!J26,'16'!J26,'17'!J26,'18'!J26,'19'!J26,'20'!J26,'21'!J26,'22'!J26,'23'!J26,'24'!J26,'25'!J26,'26'!J26,'27'!J26,'28'!J26,'29'!J26,'30'!J26,'31'!J26)</f>
        <v>0</v>
      </c>
      <c r="Y26" s="30">
        <f>SUM('1'!K26,'2'!K26,'3'!K26,'4'!K26,'5'!K26,'6'!K26,'7'!K26,'8'!K26,'9'!K26,'10'!K26,'11'!K26,'12'!K26,'13'!K26,'14'!K26,'15'!K26,'16'!K26,'17'!K26,'18'!K26,'19'!K26,'20'!K26,'21'!K26,'22'!K26,'23'!K26,'24'!K26,'25'!K26,'26'!K26,'27'!K26,'28'!K26,'29'!K26,'30'!K26,'31'!K26)</f>
        <v>0</v>
      </c>
      <c r="Z26" s="30">
        <f>SUM('1'!L26,'2'!L26,'3'!L26,'4'!L26,'5'!L26,'6'!L26,'7'!L26,'8'!L26,'9'!L26,'10'!L26,'11'!L26,'12'!L26,'13'!L26,'14'!L26,'15'!L26,'16'!L26,'17'!L26,'18'!L26,'19'!L26,'20'!L26,'21'!L26,'22'!L26,'23'!L26,'24'!L26,'25'!L26,'26'!L26,'27'!L26,'28'!L26,'29'!L26,'30'!L26,'31'!L26)</f>
        <v>0</v>
      </c>
      <c r="AA26" s="30">
        <f>SUM('1'!M26,'2'!M26,'3'!M26,'4'!M26,'5'!M26,'6'!M26,'7'!M26,'8'!M26,'9'!M26,'10'!M26,'11'!M26,'12'!M26,'13'!M26,'14'!M26,'15'!M26,'16'!M26,'17'!M26,'18'!M26,'19'!M26,'20'!M26,'21'!M26,'22'!M26,'23'!M26,'24'!M26,'25'!M26,'26'!M26,'27'!M26,'28'!M26,'29'!M26,'30'!M26,'31'!M26)</f>
        <v>0</v>
      </c>
      <c r="AB26" s="30">
        <f>SUM('1'!N26,'2'!N26,'3'!N26,'4'!N26,'5'!N26,'6'!N26,'7'!N26,'8'!N26,'9'!N26,'10'!N26,'11'!N26,'12'!N26,'13'!N26,'14'!N26,'15'!N26,'16'!N26,'17'!N26,'18'!N26,'19'!N26,'20'!N26,'21'!N26,'22'!N26,'23'!N26,'24'!N26,'25'!N26,'26'!N26,'27'!N26,'28'!N26,'29'!N26,'30'!N26,'31'!N26)</f>
        <v>0</v>
      </c>
      <c r="AC26" s="30">
        <f>SUM('1'!O26,'2'!O26,'3'!O26,'4'!O26,'5'!O26,'6'!O26,'7'!O26,'8'!O26,'9'!O26,'10'!O26,'11'!O26,'12'!O26,'13'!O26,'14'!O26,'15'!O26,'16'!O26,'17'!O26,'18'!O26,'19'!O26,'20'!O26,'21'!O26,'22'!O26,'23'!O26,'24'!O26,'25'!O26,'26'!O26,'27'!O26,'28'!O26,'29'!O26,'30'!O26,'31'!O26)</f>
        <v>0</v>
      </c>
    </row>
    <row r="27" spans="1:29" s="30" customFormat="1" ht="12.75" thickBot="1">
      <c r="A27" s="346">
        <v>20</v>
      </c>
      <c r="B27" s="346" t="str">
        <f>IF(АП!B20&lt;&gt;0,АП!B20,"")</f>
        <v/>
      </c>
      <c r="C27" s="346" t="str">
        <f>IF(АП!C20&lt;&gt;0,АП!C20,"")</f>
        <v/>
      </c>
      <c r="D27" s="348" t="str">
        <f t="shared" si="1"/>
        <v/>
      </c>
      <c r="E27" s="348" t="str">
        <f t="shared" si="2"/>
        <v/>
      </c>
      <c r="F27" s="393" t="str">
        <f t="shared" si="3"/>
        <v/>
      </c>
      <c r="G27" s="393" t="str">
        <f t="shared" si="4"/>
        <v/>
      </c>
      <c r="H27" s="393" t="str">
        <f t="shared" si="5"/>
        <v/>
      </c>
      <c r="I27" s="393" t="str">
        <f t="shared" si="6"/>
        <v/>
      </c>
      <c r="J27" s="393" t="str">
        <f t="shared" si="7"/>
        <v/>
      </c>
      <c r="K27" s="393" t="str">
        <f t="shared" si="8"/>
        <v/>
      </c>
      <c r="L27" s="393" t="str">
        <f t="shared" si="9"/>
        <v/>
      </c>
      <c r="M27" s="354"/>
      <c r="N27" s="32"/>
      <c r="O27" s="3"/>
      <c r="P27" s="3"/>
      <c r="Q27" s="3"/>
      <c r="R27" s="3"/>
      <c r="S27" s="3"/>
      <c r="U27" s="30">
        <f>SUM('1'!G27,'2'!G27,'3'!G27,'4'!G27,'5'!G27,'6'!G27,'7'!G27,'8'!G27,'9'!G27,'10'!G27,'11'!G27,'12'!G27,'13'!G27,'14'!G27,'15'!G27,'16'!G27,'17'!G27,'18'!G27,'19'!G27,'20'!G27,'21'!G27,'22'!G27,'23'!G27,'24'!G27,'25'!G27,'26'!G27,'27'!G27,'28'!G27,'29'!G27,'30'!G27,'31'!G27)</f>
        <v>0</v>
      </c>
      <c r="V27" s="30">
        <f>SUM('1'!H27,'2'!H27,'3'!H27,'4'!H27,'5'!H27,'6'!H27,'7'!H27,'8'!H27,'9'!H27,'10'!H27,'11'!H27,'12'!H27,'13'!H27,'14'!H27,'15'!H27,'16'!H27,'17'!H27,'18'!H27,'19'!H27,'20'!H27,'21'!H27,'22'!H27,'23'!H27,'24'!H27,'25'!H27,'26'!H27,'27'!H27,'28'!H27,'29'!H27,'30'!H27,'31'!H27)</f>
        <v>0</v>
      </c>
      <c r="W27" s="30">
        <f>SUM('1'!I27,'2'!I27,'3'!I27,'4'!I27,'5'!I27,'6'!I27,'7'!I27,'8'!I27,'9'!I27,'10'!I27,'11'!I27,'12'!I27,'13'!I27,'14'!I27,'15'!I27,'16'!I27,'17'!I27,'18'!I27,'19'!I27,'20'!I27,'21'!I27,'22'!I27,'23'!I27,'24'!I27,'25'!I27,'26'!I27,'27'!I27,'28'!I27,'29'!I27,'30'!I27,'31'!I27)</f>
        <v>0</v>
      </c>
      <c r="X27" s="30">
        <f>SUM('1'!J27,'2'!J27,'3'!J27,'4'!J27,'5'!J27,'6'!J27,'7'!J27,'8'!J27,'9'!J27,'10'!J27,'11'!J27,'12'!J27,'13'!J27,'14'!J27,'15'!J27,'16'!J27,'17'!J27,'18'!J27,'19'!J27,'20'!J27,'21'!J27,'22'!J27,'23'!J27,'24'!J27,'25'!J27,'26'!J27,'27'!J27,'28'!J27,'29'!J27,'30'!J27,'31'!J27)</f>
        <v>0</v>
      </c>
      <c r="Y27" s="30">
        <f>SUM('1'!K27,'2'!K27,'3'!K27,'4'!K27,'5'!K27,'6'!K27,'7'!K27,'8'!K27,'9'!K27,'10'!K27,'11'!K27,'12'!K27,'13'!K27,'14'!K27,'15'!K27,'16'!K27,'17'!K27,'18'!K27,'19'!K27,'20'!K27,'21'!K27,'22'!K27,'23'!K27,'24'!K27,'25'!K27,'26'!K27,'27'!K27,'28'!K27,'29'!K27,'30'!K27,'31'!K27)</f>
        <v>0</v>
      </c>
      <c r="Z27" s="30">
        <f>SUM('1'!L27,'2'!L27,'3'!L27,'4'!L27,'5'!L27,'6'!L27,'7'!L27,'8'!L27,'9'!L27,'10'!L27,'11'!L27,'12'!L27,'13'!L27,'14'!L27,'15'!L27,'16'!L27,'17'!L27,'18'!L27,'19'!L27,'20'!L27,'21'!L27,'22'!L27,'23'!L27,'24'!L27,'25'!L27,'26'!L27,'27'!L27,'28'!L27,'29'!L27,'30'!L27,'31'!L27)</f>
        <v>0</v>
      </c>
      <c r="AA27" s="30">
        <f>SUM('1'!M27,'2'!M27,'3'!M27,'4'!M27,'5'!M27,'6'!M27,'7'!M27,'8'!M27,'9'!M27,'10'!M27,'11'!M27,'12'!M27,'13'!M27,'14'!M27,'15'!M27,'16'!M27,'17'!M27,'18'!M27,'19'!M27,'20'!M27,'21'!M27,'22'!M27,'23'!M27,'24'!M27,'25'!M27,'26'!M27,'27'!M27,'28'!M27,'29'!M27,'30'!M27,'31'!M27)</f>
        <v>0</v>
      </c>
      <c r="AB27" s="30">
        <f>SUM('1'!N27,'2'!N27,'3'!N27,'4'!N27,'5'!N27,'6'!N27,'7'!N27,'8'!N27,'9'!N27,'10'!N27,'11'!N27,'12'!N27,'13'!N27,'14'!N27,'15'!N27,'16'!N27,'17'!N27,'18'!N27,'19'!N27,'20'!N27,'21'!N27,'22'!N27,'23'!N27,'24'!N27,'25'!N27,'26'!N27,'27'!N27,'28'!N27,'29'!N27,'30'!N27,'31'!N27)</f>
        <v>0</v>
      </c>
      <c r="AC27" s="30">
        <f>SUM('1'!O27,'2'!O27,'3'!O27,'4'!O27,'5'!O27,'6'!O27,'7'!O27,'8'!O27,'9'!O27,'10'!O27,'11'!O27,'12'!O27,'13'!O27,'14'!O27,'15'!O27,'16'!O27,'17'!O27,'18'!O27,'19'!O27,'20'!O27,'21'!O27,'22'!O27,'23'!O27,'24'!O27,'25'!O27,'26'!O27,'27'!O27,'28'!O27,'29'!O27,'30'!O27,'31'!O27)</f>
        <v>0</v>
      </c>
    </row>
    <row r="28" spans="1:29" s="30" customFormat="1" ht="12">
      <c r="A28" s="339">
        <v>21</v>
      </c>
      <c r="B28" s="339" t="str">
        <f>IF(АП!B21&lt;&gt;0,АП!B21,"")</f>
        <v>УДС2М-11</v>
      </c>
      <c r="C28" s="339">
        <f>IF(АП!C21&lt;&gt;0,АП!C21,"")</f>
        <v>606</v>
      </c>
      <c r="D28" s="341" t="str">
        <f t="shared" si="1"/>
        <v/>
      </c>
      <c r="E28" s="341" t="str">
        <f t="shared" si="2"/>
        <v/>
      </c>
      <c r="F28" s="394">
        <f t="shared" si="3"/>
        <v>68</v>
      </c>
      <c r="G28" s="394">
        <f t="shared" si="4"/>
        <v>68</v>
      </c>
      <c r="H28" s="394" t="str">
        <f t="shared" si="5"/>
        <v/>
      </c>
      <c r="I28" s="394" t="str">
        <f t="shared" si="6"/>
        <v/>
      </c>
      <c r="J28" s="394" t="str">
        <f t="shared" si="7"/>
        <v/>
      </c>
      <c r="K28" s="394" t="str">
        <f t="shared" si="8"/>
        <v/>
      </c>
      <c r="L28" s="394" t="str">
        <f t="shared" si="9"/>
        <v/>
      </c>
      <c r="M28" s="345"/>
      <c r="N28" s="32"/>
      <c r="O28" s="3"/>
      <c r="P28" s="3"/>
      <c r="Q28" s="3"/>
      <c r="R28" s="3"/>
      <c r="S28" s="3"/>
      <c r="U28" s="30">
        <f>SUM('1'!G28,'2'!G28,'3'!G28,'4'!G28,'5'!G28,'6'!G28,'7'!G28,'8'!G28,'9'!G28,'10'!G28,'11'!G28,'12'!G28,'13'!G28,'14'!G28,'15'!G28,'16'!G28,'17'!G28,'18'!G28,'19'!G28,'20'!G28,'21'!G28,'22'!G28,'23'!G28,'24'!G28,'25'!G28,'26'!G28,'27'!G28,'28'!G28,'29'!G28,'30'!G28,'31'!G28)</f>
        <v>0</v>
      </c>
      <c r="V28" s="30">
        <f>SUM('1'!H28,'2'!H28,'3'!H28,'4'!H28,'5'!H28,'6'!H28,'7'!H28,'8'!H28,'9'!H28,'10'!H28,'11'!H28,'12'!H28,'13'!H28,'14'!H28,'15'!H28,'16'!H28,'17'!H28,'18'!H28,'19'!H28,'20'!H28,'21'!H28,'22'!H28,'23'!H28,'24'!H28,'25'!H28,'26'!H28,'27'!H28,'28'!H28,'29'!H28,'30'!H28,'31'!H28)</f>
        <v>0</v>
      </c>
      <c r="W28" s="30">
        <f>SUM('1'!I28,'2'!I28,'3'!I28,'4'!I28,'5'!I28,'6'!I28,'7'!I28,'8'!I28,'9'!I28,'10'!I28,'11'!I28,'12'!I28,'13'!I28,'14'!I28,'15'!I28,'16'!I28,'17'!I28,'18'!I28,'19'!I28,'20'!I28,'21'!I28,'22'!I28,'23'!I28,'24'!I28,'25'!I28,'26'!I28,'27'!I28,'28'!I28,'29'!I28,'30'!I28,'31'!I28)</f>
        <v>68</v>
      </c>
      <c r="X28" s="30">
        <f>SUM('1'!J28,'2'!J28,'3'!J28,'4'!J28,'5'!J28,'6'!J28,'7'!J28,'8'!J28,'9'!J28,'10'!J28,'11'!J28,'12'!J28,'13'!J28,'14'!J28,'15'!J28,'16'!J28,'17'!J28,'18'!J28,'19'!J28,'20'!J28,'21'!J28,'22'!J28,'23'!J28,'24'!J28,'25'!J28,'26'!J28,'27'!J28,'28'!J28,'29'!J28,'30'!J28,'31'!J28)</f>
        <v>68</v>
      </c>
      <c r="Y28" s="30">
        <f>SUM('1'!K28,'2'!K28,'3'!K28,'4'!K28,'5'!K28,'6'!K28,'7'!K28,'8'!K28,'9'!K28,'10'!K28,'11'!K28,'12'!K28,'13'!K28,'14'!K28,'15'!K28,'16'!K28,'17'!K28,'18'!K28,'19'!K28,'20'!K28,'21'!K28,'22'!K28,'23'!K28,'24'!K28,'25'!K28,'26'!K28,'27'!K28,'28'!K28,'29'!K28,'30'!K28,'31'!K28)</f>
        <v>0</v>
      </c>
      <c r="Z28" s="30">
        <f>SUM('1'!L28,'2'!L28,'3'!L28,'4'!L28,'5'!L28,'6'!L28,'7'!L28,'8'!L28,'9'!L28,'10'!L28,'11'!L28,'12'!L28,'13'!L28,'14'!L28,'15'!L28,'16'!L28,'17'!L28,'18'!L28,'19'!L28,'20'!L28,'21'!L28,'22'!L28,'23'!L28,'24'!L28,'25'!L28,'26'!L28,'27'!L28,'28'!L28,'29'!L28,'30'!L28,'31'!L28)</f>
        <v>0</v>
      </c>
      <c r="AA28" s="30">
        <f>SUM('1'!M28,'2'!M28,'3'!M28,'4'!M28,'5'!M28,'6'!M28,'7'!M28,'8'!M28,'9'!M28,'10'!M28,'11'!M28,'12'!M28,'13'!M28,'14'!M28,'15'!M28,'16'!M28,'17'!M28,'18'!M28,'19'!M28,'20'!M28,'21'!M28,'22'!M28,'23'!M28,'24'!M28,'25'!M28,'26'!M28,'27'!M28,'28'!M28,'29'!M28,'30'!M28,'31'!M28)</f>
        <v>0</v>
      </c>
      <c r="AB28" s="30">
        <f>SUM('1'!N28,'2'!N28,'3'!N28,'4'!N28,'5'!N28,'6'!N28,'7'!N28,'8'!N28,'9'!N28,'10'!N28,'11'!N28,'12'!N28,'13'!N28,'14'!N28,'15'!N28,'16'!N28,'17'!N28,'18'!N28,'19'!N28,'20'!N28,'21'!N28,'22'!N28,'23'!N28,'24'!N28,'25'!N28,'26'!N28,'27'!N28,'28'!N28,'29'!N28,'30'!N28,'31'!N28)</f>
        <v>0</v>
      </c>
      <c r="AC28" s="30">
        <f>SUM('1'!O28,'2'!O28,'3'!O28,'4'!O28,'5'!O28,'6'!O28,'7'!O28,'8'!O28,'9'!O28,'10'!O28,'11'!O28,'12'!O28,'13'!O28,'14'!O28,'15'!O28,'16'!O28,'17'!O28,'18'!O28,'19'!O28,'20'!O28,'21'!O28,'22'!O28,'23'!O28,'24'!O28,'25'!O28,'26'!O28,'27'!O28,'28'!O28,'29'!O28,'30'!O28,'31'!O28)</f>
        <v>0</v>
      </c>
    </row>
    <row r="29" spans="1:29" s="30" customFormat="1" ht="12">
      <c r="A29" s="325">
        <v>22</v>
      </c>
      <c r="B29" s="325" t="str">
        <f>IF(АП!B22&lt;&gt;0,АП!B22,"")</f>
        <v>РДМ-1М1</v>
      </c>
      <c r="C29" s="325">
        <f>IF(АП!C22&lt;&gt;0,АП!C22,"")</f>
        <v>418</v>
      </c>
      <c r="D29" s="326" t="str">
        <f t="shared" si="1"/>
        <v/>
      </c>
      <c r="E29" s="326" t="str">
        <f t="shared" si="2"/>
        <v/>
      </c>
      <c r="F29" s="392" t="str">
        <f t="shared" si="3"/>
        <v/>
      </c>
      <c r="G29" s="392" t="str">
        <f t="shared" si="4"/>
        <v/>
      </c>
      <c r="H29" s="392" t="str">
        <f t="shared" si="5"/>
        <v/>
      </c>
      <c r="I29" s="392" t="str">
        <f t="shared" si="6"/>
        <v/>
      </c>
      <c r="J29" s="392" t="str">
        <f t="shared" si="7"/>
        <v/>
      </c>
      <c r="K29" s="392" t="str">
        <f t="shared" si="8"/>
        <v/>
      </c>
      <c r="L29" s="392" t="str">
        <f t="shared" si="9"/>
        <v/>
      </c>
      <c r="M29" s="130"/>
      <c r="N29" s="32"/>
      <c r="O29" s="3"/>
      <c r="P29" s="3"/>
      <c r="Q29" s="3"/>
      <c r="R29" s="3"/>
      <c r="S29" s="3"/>
      <c r="U29" s="30">
        <f>SUM('1'!G29,'2'!G29,'3'!G29,'4'!G29,'5'!G29,'6'!G29,'7'!G29,'8'!G29,'9'!G29,'10'!G29,'11'!G29,'12'!G29,'13'!G29,'14'!G29,'15'!G29,'16'!G29,'17'!G29,'18'!G29,'19'!G29,'20'!G29,'21'!G29,'22'!G29,'23'!G29,'24'!G29,'25'!G29,'26'!G29,'27'!G29,'28'!G29,'29'!G29,'30'!G29,'31'!G29)</f>
        <v>0</v>
      </c>
      <c r="V29" s="30">
        <f>SUM('1'!H29,'2'!H29,'3'!H29,'4'!H29,'5'!H29,'6'!H29,'7'!H29,'8'!H29,'9'!H29,'10'!H29,'11'!H29,'12'!H29,'13'!H29,'14'!H29,'15'!H29,'16'!H29,'17'!H29,'18'!H29,'19'!H29,'20'!H29,'21'!H29,'22'!H29,'23'!H29,'24'!H29,'25'!H29,'26'!H29,'27'!H29,'28'!H29,'29'!H29,'30'!H29,'31'!H29)</f>
        <v>0</v>
      </c>
      <c r="W29" s="30">
        <f>SUM('1'!I29,'2'!I29,'3'!I29,'4'!I29,'5'!I29,'6'!I29,'7'!I29,'8'!I29,'9'!I29,'10'!I29,'11'!I29,'12'!I29,'13'!I29,'14'!I29,'15'!I29,'16'!I29,'17'!I29,'18'!I29,'19'!I29,'20'!I29,'21'!I29,'22'!I29,'23'!I29,'24'!I29,'25'!I29,'26'!I29,'27'!I29,'28'!I29,'29'!I29,'30'!I29,'31'!I29)</f>
        <v>0</v>
      </c>
      <c r="X29" s="30">
        <f>SUM('1'!J29,'2'!J29,'3'!J29,'4'!J29,'5'!J29,'6'!J29,'7'!J29,'8'!J29,'9'!J29,'10'!J29,'11'!J29,'12'!J29,'13'!J29,'14'!J29,'15'!J29,'16'!J29,'17'!J29,'18'!J29,'19'!J29,'20'!J29,'21'!J29,'22'!J29,'23'!J29,'24'!J29,'25'!J29,'26'!J29,'27'!J29,'28'!J29,'29'!J29,'30'!J29,'31'!J29)</f>
        <v>0</v>
      </c>
      <c r="Y29" s="30">
        <f>SUM('1'!K29,'2'!K29,'3'!K29,'4'!K29,'5'!K29,'6'!K29,'7'!K29,'8'!K29,'9'!K29,'10'!K29,'11'!K29,'12'!K29,'13'!K29,'14'!K29,'15'!K29,'16'!K29,'17'!K29,'18'!K29,'19'!K29,'20'!K29,'21'!K29,'22'!K29,'23'!K29,'24'!K29,'25'!K29,'26'!K29,'27'!K29,'28'!K29,'29'!K29,'30'!K29,'31'!K29)</f>
        <v>0</v>
      </c>
      <c r="Z29" s="30">
        <f>SUM('1'!L29,'2'!L29,'3'!L29,'4'!L29,'5'!L29,'6'!L29,'7'!L29,'8'!L29,'9'!L29,'10'!L29,'11'!L29,'12'!L29,'13'!L29,'14'!L29,'15'!L29,'16'!L29,'17'!L29,'18'!L29,'19'!L29,'20'!L29,'21'!L29,'22'!L29,'23'!L29,'24'!L29,'25'!L29,'26'!L29,'27'!L29,'28'!L29,'29'!L29,'30'!L29,'31'!L29)</f>
        <v>0</v>
      </c>
      <c r="AA29" s="30">
        <f>SUM('1'!M29,'2'!M29,'3'!M29,'4'!M29,'5'!M29,'6'!M29,'7'!M29,'8'!M29,'9'!M29,'10'!M29,'11'!M29,'12'!M29,'13'!M29,'14'!M29,'15'!M29,'16'!M29,'17'!M29,'18'!M29,'19'!M29,'20'!M29,'21'!M29,'22'!M29,'23'!M29,'24'!M29,'25'!M29,'26'!M29,'27'!M29,'28'!M29,'29'!M29,'30'!M29,'31'!M29)</f>
        <v>0</v>
      </c>
      <c r="AB29" s="30">
        <f>SUM('1'!N29,'2'!N29,'3'!N29,'4'!N29,'5'!N29,'6'!N29,'7'!N29,'8'!N29,'9'!N29,'10'!N29,'11'!N29,'12'!N29,'13'!N29,'14'!N29,'15'!N29,'16'!N29,'17'!N29,'18'!N29,'19'!N29,'20'!N29,'21'!N29,'22'!N29,'23'!N29,'24'!N29,'25'!N29,'26'!N29,'27'!N29,'28'!N29,'29'!N29,'30'!N29,'31'!N29)</f>
        <v>0</v>
      </c>
      <c r="AC29" s="30">
        <f>SUM('1'!O29,'2'!O29,'3'!O29,'4'!O29,'5'!O29,'6'!O29,'7'!O29,'8'!O29,'9'!O29,'10'!O29,'11'!O29,'12'!O29,'13'!O29,'14'!O29,'15'!O29,'16'!O29,'17'!O29,'18'!O29,'19'!O29,'20'!O29,'21'!O29,'22'!O29,'23'!O29,'24'!O29,'25'!O29,'26'!O29,'27'!O29,'28'!O29,'29'!O29,'30'!O29,'31'!O29)</f>
        <v>0</v>
      </c>
    </row>
    <row r="30" spans="1:29" s="30" customFormat="1" ht="12">
      <c r="A30" s="325">
        <v>23</v>
      </c>
      <c r="B30" s="325" t="str">
        <f>IF(АП!B23&lt;&gt;0,АП!B23,"")</f>
        <v>РДМ-1</v>
      </c>
      <c r="C30" s="325">
        <f>IF(АП!C23&lt;&gt;0,АП!C23,"")</f>
        <v>28</v>
      </c>
      <c r="D30" s="326" t="str">
        <f t="shared" si="1"/>
        <v/>
      </c>
      <c r="E30" s="326" t="str">
        <f t="shared" si="2"/>
        <v/>
      </c>
      <c r="F30" s="392" t="str">
        <f t="shared" si="3"/>
        <v/>
      </c>
      <c r="G30" s="392" t="str">
        <f t="shared" si="4"/>
        <v/>
      </c>
      <c r="H30" s="392" t="str">
        <f t="shared" si="5"/>
        <v/>
      </c>
      <c r="I30" s="392" t="str">
        <f t="shared" si="6"/>
        <v/>
      </c>
      <c r="J30" s="392" t="str">
        <f t="shared" si="7"/>
        <v/>
      </c>
      <c r="K30" s="392" t="str">
        <f t="shared" si="8"/>
        <v/>
      </c>
      <c r="L30" s="392" t="str">
        <f t="shared" si="9"/>
        <v/>
      </c>
      <c r="M30" s="130"/>
      <c r="N30" s="32"/>
      <c r="O30" s="3"/>
      <c r="P30" s="3"/>
      <c r="Q30" s="3"/>
      <c r="R30" s="3"/>
      <c r="S30" s="3"/>
      <c r="U30" s="30">
        <f>SUM('1'!G30,'2'!G30,'3'!G30,'4'!G30,'5'!G30,'6'!G30,'7'!G30,'8'!G30,'9'!G30,'10'!G30,'11'!G30,'12'!G30,'13'!G30,'14'!G30,'15'!G30,'16'!G30,'17'!G30,'18'!G30,'19'!G30,'20'!G30,'21'!G30,'22'!G30,'23'!G30,'24'!G30,'25'!G30,'26'!G30,'27'!G30,'28'!G30,'29'!G30,'30'!G30,'31'!G30)</f>
        <v>0</v>
      </c>
      <c r="V30" s="30">
        <f>SUM('1'!H30,'2'!H30,'3'!H30,'4'!H30,'5'!H30,'6'!H30,'7'!H30,'8'!H30,'9'!H30,'10'!H30,'11'!H30,'12'!H30,'13'!H30,'14'!H30,'15'!H30,'16'!H30,'17'!H30,'18'!H30,'19'!H30,'20'!H30,'21'!H30,'22'!H30,'23'!H30,'24'!H30,'25'!H30,'26'!H30,'27'!H30,'28'!H30,'29'!H30,'30'!H30,'31'!H30)</f>
        <v>0</v>
      </c>
      <c r="W30" s="30">
        <f>SUM('1'!I30,'2'!I30,'3'!I30,'4'!I30,'5'!I30,'6'!I30,'7'!I30,'8'!I30,'9'!I30,'10'!I30,'11'!I30,'12'!I30,'13'!I30,'14'!I30,'15'!I30,'16'!I30,'17'!I30,'18'!I30,'19'!I30,'20'!I30,'21'!I30,'22'!I30,'23'!I30,'24'!I30,'25'!I30,'26'!I30,'27'!I30,'28'!I30,'29'!I30,'30'!I30,'31'!I30)</f>
        <v>0</v>
      </c>
      <c r="X30" s="30">
        <f>SUM('1'!J30,'2'!J30,'3'!J30,'4'!J30,'5'!J30,'6'!J30,'7'!J30,'8'!J30,'9'!J30,'10'!J30,'11'!J30,'12'!J30,'13'!J30,'14'!J30,'15'!J30,'16'!J30,'17'!J30,'18'!J30,'19'!J30,'20'!J30,'21'!J30,'22'!J30,'23'!J30,'24'!J30,'25'!J30,'26'!J30,'27'!J30,'28'!J30,'29'!J30,'30'!J30,'31'!J30)</f>
        <v>0</v>
      </c>
      <c r="Y30" s="30">
        <f>SUM('1'!K30,'2'!K30,'3'!K30,'4'!K30,'5'!K30,'6'!K30,'7'!K30,'8'!K30,'9'!K30,'10'!K30,'11'!K30,'12'!K30,'13'!K30,'14'!K30,'15'!K30,'16'!K30,'17'!K30,'18'!K30,'19'!K30,'20'!K30,'21'!K30,'22'!K30,'23'!K30,'24'!K30,'25'!K30,'26'!K30,'27'!K30,'28'!K30,'29'!K30,'30'!K30,'31'!K30)</f>
        <v>0</v>
      </c>
      <c r="Z30" s="30">
        <f>SUM('1'!L30,'2'!L30,'3'!L30,'4'!L30,'5'!L30,'6'!L30,'7'!L30,'8'!L30,'9'!L30,'10'!L30,'11'!L30,'12'!L30,'13'!L30,'14'!L30,'15'!L30,'16'!L30,'17'!L30,'18'!L30,'19'!L30,'20'!L30,'21'!L30,'22'!L30,'23'!L30,'24'!L30,'25'!L30,'26'!L30,'27'!L30,'28'!L30,'29'!L30,'30'!L30,'31'!L30)</f>
        <v>0</v>
      </c>
      <c r="AA30" s="30">
        <f>SUM('1'!M30,'2'!M30,'3'!M30,'4'!M30,'5'!M30,'6'!M30,'7'!M30,'8'!M30,'9'!M30,'10'!M30,'11'!M30,'12'!M30,'13'!M30,'14'!M30,'15'!M30,'16'!M30,'17'!M30,'18'!M30,'19'!M30,'20'!M30,'21'!M30,'22'!M30,'23'!M30,'24'!M30,'25'!M30,'26'!M30,'27'!M30,'28'!M30,'29'!M30,'30'!M30,'31'!M30)</f>
        <v>0</v>
      </c>
      <c r="AB30" s="30">
        <f>SUM('1'!N30,'2'!N30,'3'!N30,'4'!N30,'5'!N30,'6'!N30,'7'!N30,'8'!N30,'9'!N30,'10'!N30,'11'!N30,'12'!N30,'13'!N30,'14'!N30,'15'!N30,'16'!N30,'17'!N30,'18'!N30,'19'!N30,'20'!N30,'21'!N30,'22'!N30,'23'!N30,'24'!N30,'25'!N30,'26'!N30,'27'!N30,'28'!N30,'29'!N30,'30'!N30,'31'!N30)</f>
        <v>0</v>
      </c>
      <c r="AC30" s="30">
        <f>SUM('1'!O30,'2'!O30,'3'!O30,'4'!O30,'5'!O30,'6'!O30,'7'!O30,'8'!O30,'9'!O30,'10'!O30,'11'!O30,'12'!O30,'13'!O30,'14'!O30,'15'!O30,'16'!O30,'17'!O30,'18'!O30,'19'!O30,'20'!O30,'21'!O30,'22'!O30,'23'!O30,'24'!O30,'25'!O30,'26'!O30,'27'!O30,'28'!O30,'29'!O30,'30'!O30,'31'!O30)</f>
        <v>0</v>
      </c>
    </row>
    <row r="31" spans="1:29" s="30" customFormat="1" ht="12">
      <c r="A31" s="325">
        <v>24</v>
      </c>
      <c r="B31" s="325" t="str">
        <f>IF(АП!B24&lt;&gt;0,АП!B24,"")</f>
        <v>УРДО-3</v>
      </c>
      <c r="C31" s="325">
        <f>IF(АП!C24&lt;&gt;0,АП!C24,"")</f>
        <v>284</v>
      </c>
      <c r="D31" s="326" t="str">
        <f t="shared" si="1"/>
        <v/>
      </c>
      <c r="E31" s="326" t="str">
        <f t="shared" si="2"/>
        <v/>
      </c>
      <c r="F31" s="392" t="str">
        <f t="shared" si="3"/>
        <v/>
      </c>
      <c r="G31" s="392" t="str">
        <f t="shared" si="4"/>
        <v/>
      </c>
      <c r="H31" s="392" t="str">
        <f t="shared" si="5"/>
        <v/>
      </c>
      <c r="I31" s="392" t="str">
        <f t="shared" si="6"/>
        <v/>
      </c>
      <c r="J31" s="392" t="str">
        <f t="shared" si="7"/>
        <v/>
      </c>
      <c r="K31" s="392" t="str">
        <f t="shared" si="8"/>
        <v/>
      </c>
      <c r="L31" s="392" t="str">
        <f t="shared" si="9"/>
        <v/>
      </c>
      <c r="M31" s="130"/>
      <c r="N31" s="32"/>
      <c r="O31" s="3"/>
      <c r="P31" s="3"/>
      <c r="Q31" s="3"/>
      <c r="R31" s="3"/>
      <c r="S31" s="3"/>
      <c r="U31" s="30">
        <f>SUM('1'!G31,'2'!G31,'3'!G31,'4'!G31,'5'!G31,'6'!G31,'7'!G31,'8'!G31,'9'!G31,'10'!G31,'11'!G31,'12'!G31,'13'!G31,'14'!G31,'15'!G31,'16'!G31,'17'!G31,'18'!G31,'19'!G31,'20'!G31,'21'!G31,'22'!G31,'23'!G31,'24'!G31,'25'!G31,'26'!G31,'27'!G31,'28'!G31,'29'!G31,'30'!G31,'31'!G31)</f>
        <v>0</v>
      </c>
      <c r="V31" s="30">
        <f>SUM('1'!H31,'2'!H31,'3'!H31,'4'!H31,'5'!H31,'6'!H31,'7'!H31,'8'!H31,'9'!H31,'10'!H31,'11'!H31,'12'!H31,'13'!H31,'14'!H31,'15'!H31,'16'!H31,'17'!H31,'18'!H31,'19'!H31,'20'!H31,'21'!H31,'22'!H31,'23'!H31,'24'!H31,'25'!H31,'26'!H31,'27'!H31,'28'!H31,'29'!H31,'30'!H31,'31'!H31)</f>
        <v>0</v>
      </c>
      <c r="W31" s="30">
        <f>SUM('1'!I31,'2'!I31,'3'!I31,'4'!I31,'5'!I31,'6'!I31,'7'!I31,'8'!I31,'9'!I31,'10'!I31,'11'!I31,'12'!I31,'13'!I31,'14'!I31,'15'!I31,'16'!I31,'17'!I31,'18'!I31,'19'!I31,'20'!I31,'21'!I31,'22'!I31,'23'!I31,'24'!I31,'25'!I31,'26'!I31,'27'!I31,'28'!I31,'29'!I31,'30'!I31,'31'!I31)</f>
        <v>0</v>
      </c>
      <c r="X31" s="30">
        <f>SUM('1'!J31,'2'!J31,'3'!J31,'4'!J31,'5'!J31,'6'!J31,'7'!J31,'8'!J31,'9'!J31,'10'!J31,'11'!J31,'12'!J31,'13'!J31,'14'!J31,'15'!J31,'16'!J31,'17'!J31,'18'!J31,'19'!J31,'20'!J31,'21'!J31,'22'!J31,'23'!J31,'24'!J31,'25'!J31,'26'!J31,'27'!J31,'28'!J31,'29'!J31,'30'!J31,'31'!J31)</f>
        <v>0</v>
      </c>
      <c r="Y31" s="30">
        <f>SUM('1'!K31,'2'!K31,'3'!K31,'4'!K31,'5'!K31,'6'!K31,'7'!K31,'8'!K31,'9'!K31,'10'!K31,'11'!K31,'12'!K31,'13'!K31,'14'!K31,'15'!K31,'16'!K31,'17'!K31,'18'!K31,'19'!K31,'20'!K31,'21'!K31,'22'!K31,'23'!K31,'24'!K31,'25'!K31,'26'!K31,'27'!K31,'28'!K31,'29'!K31,'30'!K31,'31'!K31)</f>
        <v>0</v>
      </c>
      <c r="Z31" s="30">
        <f>SUM('1'!L31,'2'!L31,'3'!L31,'4'!L31,'5'!L31,'6'!L31,'7'!L31,'8'!L31,'9'!L31,'10'!L31,'11'!L31,'12'!L31,'13'!L31,'14'!L31,'15'!L31,'16'!L31,'17'!L31,'18'!L31,'19'!L31,'20'!L31,'21'!L31,'22'!L31,'23'!L31,'24'!L31,'25'!L31,'26'!L31,'27'!L31,'28'!L31,'29'!L31,'30'!L31,'31'!L31)</f>
        <v>0</v>
      </c>
      <c r="AA31" s="30">
        <f>SUM('1'!M31,'2'!M31,'3'!M31,'4'!M31,'5'!M31,'6'!M31,'7'!M31,'8'!M31,'9'!M31,'10'!M31,'11'!M31,'12'!M31,'13'!M31,'14'!M31,'15'!M31,'16'!M31,'17'!M31,'18'!M31,'19'!M31,'20'!M31,'21'!M31,'22'!M31,'23'!M31,'24'!M31,'25'!M31,'26'!M31,'27'!M31,'28'!M31,'29'!M31,'30'!M31,'31'!M31)</f>
        <v>0</v>
      </c>
      <c r="AB31" s="30">
        <f>SUM('1'!N31,'2'!N31,'3'!N31,'4'!N31,'5'!N31,'6'!N31,'7'!N31,'8'!N31,'9'!N31,'10'!N31,'11'!N31,'12'!N31,'13'!N31,'14'!N31,'15'!N31,'16'!N31,'17'!N31,'18'!N31,'19'!N31,'20'!N31,'21'!N31,'22'!N31,'23'!N31,'24'!N31,'25'!N31,'26'!N31,'27'!N31,'28'!N31,'29'!N31,'30'!N31,'31'!N31)</f>
        <v>0</v>
      </c>
      <c r="AC31" s="30">
        <f>SUM('1'!O31,'2'!O31,'3'!O31,'4'!O31,'5'!O31,'6'!O31,'7'!O31,'8'!O31,'9'!O31,'10'!O31,'11'!O31,'12'!O31,'13'!O31,'14'!O31,'15'!O31,'16'!O31,'17'!O31,'18'!O31,'19'!O31,'20'!O31,'21'!O31,'22'!O31,'23'!O31,'24'!O31,'25'!O31,'26'!O31,'27'!O31,'28'!O31,'29'!O31,'30'!O31,'31'!O31)</f>
        <v>0</v>
      </c>
    </row>
    <row r="32" spans="1:29" s="30" customFormat="1" ht="12">
      <c r="A32" s="325">
        <v>25</v>
      </c>
      <c r="B32" s="325" t="str">
        <f>IF(АП!B25&lt;&gt;0,АП!B25,"")</f>
        <v/>
      </c>
      <c r="C32" s="325" t="str">
        <f>IF(АП!C25&lt;&gt;0,АП!C25,"")</f>
        <v/>
      </c>
      <c r="D32" s="326" t="str">
        <f t="shared" si="1"/>
        <v/>
      </c>
      <c r="E32" s="326" t="str">
        <f t="shared" si="2"/>
        <v/>
      </c>
      <c r="F32" s="392" t="str">
        <f t="shared" si="3"/>
        <v/>
      </c>
      <c r="G32" s="392" t="str">
        <f t="shared" si="4"/>
        <v/>
      </c>
      <c r="H32" s="392" t="str">
        <f t="shared" si="5"/>
        <v/>
      </c>
      <c r="I32" s="392" t="str">
        <f t="shared" si="6"/>
        <v/>
      </c>
      <c r="J32" s="392" t="str">
        <f t="shared" si="7"/>
        <v/>
      </c>
      <c r="K32" s="392" t="str">
        <f t="shared" si="8"/>
        <v/>
      </c>
      <c r="L32" s="392" t="str">
        <f t="shared" si="9"/>
        <v/>
      </c>
      <c r="M32" s="130"/>
      <c r="N32" s="32"/>
      <c r="O32" s="3"/>
      <c r="P32" s="3"/>
      <c r="Q32" s="3"/>
      <c r="R32" s="3"/>
      <c r="S32" s="3"/>
      <c r="U32" s="30">
        <f>SUM('1'!G32,'2'!G32,'3'!G32,'4'!G32,'5'!G32,'6'!G32,'7'!G32,'8'!G32,'9'!G32,'10'!G32,'11'!G32,'12'!G32,'13'!G32,'14'!G32,'15'!G32,'16'!G32,'17'!G32,'18'!G32,'19'!G32,'20'!G32,'21'!G32,'22'!G32,'23'!G32,'24'!G32,'25'!G32,'26'!G32,'27'!G32,'28'!G32,'29'!G32,'30'!G32,'31'!G32)</f>
        <v>0</v>
      </c>
      <c r="V32" s="30">
        <f>SUM('1'!H32,'2'!H32,'3'!H32,'4'!H32,'5'!H32,'6'!H32,'7'!H32,'8'!H32,'9'!H32,'10'!H32,'11'!H32,'12'!H32,'13'!H32,'14'!H32,'15'!H32,'16'!H32,'17'!H32,'18'!H32,'19'!H32,'20'!H32,'21'!H32,'22'!H32,'23'!H32,'24'!H32,'25'!H32,'26'!H32,'27'!H32,'28'!H32,'29'!H32,'30'!H32,'31'!H32)</f>
        <v>0</v>
      </c>
      <c r="W32" s="30">
        <f>SUM('1'!I32,'2'!I32,'3'!I32,'4'!I32,'5'!I32,'6'!I32,'7'!I32,'8'!I32,'9'!I32,'10'!I32,'11'!I32,'12'!I32,'13'!I32,'14'!I32,'15'!I32,'16'!I32,'17'!I32,'18'!I32,'19'!I32,'20'!I32,'21'!I32,'22'!I32,'23'!I32,'24'!I32,'25'!I32,'26'!I32,'27'!I32,'28'!I32,'29'!I32,'30'!I32,'31'!I32)</f>
        <v>0</v>
      </c>
      <c r="X32" s="30">
        <f>SUM('1'!J32,'2'!J32,'3'!J32,'4'!J32,'5'!J32,'6'!J32,'7'!J32,'8'!J32,'9'!J32,'10'!J32,'11'!J32,'12'!J32,'13'!J32,'14'!J32,'15'!J32,'16'!J32,'17'!J32,'18'!J32,'19'!J32,'20'!J32,'21'!J32,'22'!J32,'23'!J32,'24'!J32,'25'!J32,'26'!J32,'27'!J32,'28'!J32,'29'!J32,'30'!J32,'31'!J32)</f>
        <v>0</v>
      </c>
      <c r="Y32" s="30">
        <f>SUM('1'!K32,'2'!K32,'3'!K32,'4'!K32,'5'!K32,'6'!K32,'7'!K32,'8'!K32,'9'!K32,'10'!K32,'11'!K32,'12'!K32,'13'!K32,'14'!K32,'15'!K32,'16'!K32,'17'!K32,'18'!K32,'19'!K32,'20'!K32,'21'!K32,'22'!K32,'23'!K32,'24'!K32,'25'!K32,'26'!K32,'27'!K32,'28'!K32,'29'!K32,'30'!K32,'31'!K32)</f>
        <v>0</v>
      </c>
      <c r="Z32" s="30">
        <f>SUM('1'!L32,'2'!L32,'3'!L32,'4'!L32,'5'!L32,'6'!L32,'7'!L32,'8'!L32,'9'!L32,'10'!L32,'11'!L32,'12'!L32,'13'!L32,'14'!L32,'15'!L32,'16'!L32,'17'!L32,'18'!L32,'19'!L32,'20'!L32,'21'!L32,'22'!L32,'23'!L32,'24'!L32,'25'!L32,'26'!L32,'27'!L32,'28'!L32,'29'!L32,'30'!L32,'31'!L32)</f>
        <v>0</v>
      </c>
      <c r="AA32" s="30">
        <f>SUM('1'!M32,'2'!M32,'3'!M32,'4'!M32,'5'!M32,'6'!M32,'7'!M32,'8'!M32,'9'!M32,'10'!M32,'11'!M32,'12'!M32,'13'!M32,'14'!M32,'15'!M32,'16'!M32,'17'!M32,'18'!M32,'19'!M32,'20'!M32,'21'!M32,'22'!M32,'23'!M32,'24'!M32,'25'!M32,'26'!M32,'27'!M32,'28'!M32,'29'!M32,'30'!M32,'31'!M32)</f>
        <v>0</v>
      </c>
      <c r="AB32" s="30">
        <f>SUM('1'!N32,'2'!N32,'3'!N32,'4'!N32,'5'!N32,'6'!N32,'7'!N32,'8'!N32,'9'!N32,'10'!N32,'11'!N32,'12'!N32,'13'!N32,'14'!N32,'15'!N32,'16'!N32,'17'!N32,'18'!N32,'19'!N32,'20'!N32,'21'!N32,'22'!N32,'23'!N32,'24'!N32,'25'!N32,'26'!N32,'27'!N32,'28'!N32,'29'!N32,'30'!N32,'31'!N32)</f>
        <v>0</v>
      </c>
      <c r="AC32" s="30">
        <f>SUM('1'!O32,'2'!O32,'3'!O32,'4'!O32,'5'!O32,'6'!O32,'7'!O32,'8'!O32,'9'!O32,'10'!O32,'11'!O32,'12'!O32,'13'!O32,'14'!O32,'15'!O32,'16'!O32,'17'!O32,'18'!O32,'19'!O32,'20'!O32,'21'!O32,'22'!O32,'23'!O32,'24'!O32,'25'!O32,'26'!O32,'27'!O32,'28'!O32,'29'!O32,'30'!O32,'31'!O32)</f>
        <v>0</v>
      </c>
    </row>
    <row r="33" spans="1:29" s="30" customFormat="1" ht="12">
      <c r="A33" s="325">
        <v>26</v>
      </c>
      <c r="B33" s="325" t="str">
        <f>IF(АП!B26&lt;&gt;0,АП!B26,"")</f>
        <v/>
      </c>
      <c r="C33" s="325" t="str">
        <f>IF(АП!C26&lt;&gt;0,АП!C26,"")</f>
        <v/>
      </c>
      <c r="D33" s="326" t="str">
        <f t="shared" si="1"/>
        <v/>
      </c>
      <c r="E33" s="326" t="str">
        <f t="shared" si="2"/>
        <v/>
      </c>
      <c r="F33" s="392" t="str">
        <f t="shared" si="3"/>
        <v/>
      </c>
      <c r="G33" s="392" t="str">
        <f t="shared" si="4"/>
        <v/>
      </c>
      <c r="H33" s="392" t="str">
        <f t="shared" si="5"/>
        <v/>
      </c>
      <c r="I33" s="392" t="str">
        <f t="shared" si="6"/>
        <v/>
      </c>
      <c r="J33" s="392" t="str">
        <f t="shared" si="7"/>
        <v/>
      </c>
      <c r="K33" s="392" t="str">
        <f t="shared" si="8"/>
        <v/>
      </c>
      <c r="L33" s="392" t="str">
        <f t="shared" si="9"/>
        <v/>
      </c>
      <c r="M33" s="130"/>
      <c r="N33" s="32"/>
      <c r="O33" s="3"/>
      <c r="P33" s="3"/>
      <c r="Q33" s="3"/>
      <c r="R33" s="3"/>
      <c r="S33" s="3"/>
      <c r="U33" s="30">
        <f>SUM('1'!G33,'2'!G33,'3'!G33,'4'!G33,'5'!G33,'6'!G33,'7'!G33,'8'!G33,'9'!G33,'10'!G33,'11'!G33,'12'!G33,'13'!G33,'14'!G33,'15'!G33,'16'!G33,'17'!G33,'18'!G33,'19'!G33,'20'!G33,'21'!G33,'22'!G33,'23'!G33,'24'!G33,'25'!G33,'26'!G33,'27'!G33,'28'!G33,'29'!G33,'30'!G33,'31'!G33)</f>
        <v>0</v>
      </c>
      <c r="V33" s="30">
        <f>SUM('1'!H33,'2'!H33,'3'!H33,'4'!H33,'5'!H33,'6'!H33,'7'!H33,'8'!H33,'9'!H33,'10'!H33,'11'!H33,'12'!H33,'13'!H33,'14'!H33,'15'!H33,'16'!H33,'17'!H33,'18'!H33,'19'!H33,'20'!H33,'21'!H33,'22'!H33,'23'!H33,'24'!H33,'25'!H33,'26'!H33,'27'!H33,'28'!H33,'29'!H33,'30'!H33,'31'!H33)</f>
        <v>0</v>
      </c>
      <c r="W33" s="30">
        <f>SUM('1'!I33,'2'!I33,'3'!I33,'4'!I33,'5'!I33,'6'!I33,'7'!I33,'8'!I33,'9'!I33,'10'!I33,'11'!I33,'12'!I33,'13'!I33,'14'!I33,'15'!I33,'16'!I33,'17'!I33,'18'!I33,'19'!I33,'20'!I33,'21'!I33,'22'!I33,'23'!I33,'24'!I33,'25'!I33,'26'!I33,'27'!I33,'28'!I33,'29'!I33,'30'!I33,'31'!I33)</f>
        <v>0</v>
      </c>
      <c r="X33" s="30">
        <f>SUM('1'!J33,'2'!J33,'3'!J33,'4'!J33,'5'!J33,'6'!J33,'7'!J33,'8'!J33,'9'!J33,'10'!J33,'11'!J33,'12'!J33,'13'!J33,'14'!J33,'15'!J33,'16'!J33,'17'!J33,'18'!J33,'19'!J33,'20'!J33,'21'!J33,'22'!J33,'23'!J33,'24'!J33,'25'!J33,'26'!J33,'27'!J33,'28'!J33,'29'!J33,'30'!J33,'31'!J33)</f>
        <v>0</v>
      </c>
      <c r="Y33" s="30">
        <f>SUM('1'!K33,'2'!K33,'3'!K33,'4'!K33,'5'!K33,'6'!K33,'7'!K33,'8'!K33,'9'!K33,'10'!K33,'11'!K33,'12'!K33,'13'!K33,'14'!K33,'15'!K33,'16'!K33,'17'!K33,'18'!K33,'19'!K33,'20'!K33,'21'!K33,'22'!K33,'23'!K33,'24'!K33,'25'!K33,'26'!K33,'27'!K33,'28'!K33,'29'!K33,'30'!K33,'31'!K33)</f>
        <v>0</v>
      </c>
      <c r="Z33" s="30">
        <f>SUM('1'!L33,'2'!L33,'3'!L33,'4'!L33,'5'!L33,'6'!L33,'7'!L33,'8'!L33,'9'!L33,'10'!L33,'11'!L33,'12'!L33,'13'!L33,'14'!L33,'15'!L33,'16'!L33,'17'!L33,'18'!L33,'19'!L33,'20'!L33,'21'!L33,'22'!L33,'23'!L33,'24'!L33,'25'!L33,'26'!L33,'27'!L33,'28'!L33,'29'!L33,'30'!L33,'31'!L33)</f>
        <v>0</v>
      </c>
      <c r="AA33" s="30">
        <f>SUM('1'!M33,'2'!M33,'3'!M33,'4'!M33,'5'!M33,'6'!M33,'7'!M33,'8'!M33,'9'!M33,'10'!M33,'11'!M33,'12'!M33,'13'!M33,'14'!M33,'15'!M33,'16'!M33,'17'!M33,'18'!M33,'19'!M33,'20'!M33,'21'!M33,'22'!M33,'23'!M33,'24'!M33,'25'!M33,'26'!M33,'27'!M33,'28'!M33,'29'!M33,'30'!M33,'31'!M33)</f>
        <v>0</v>
      </c>
      <c r="AB33" s="30">
        <f>SUM('1'!N33,'2'!N33,'3'!N33,'4'!N33,'5'!N33,'6'!N33,'7'!N33,'8'!N33,'9'!N33,'10'!N33,'11'!N33,'12'!N33,'13'!N33,'14'!N33,'15'!N33,'16'!N33,'17'!N33,'18'!N33,'19'!N33,'20'!N33,'21'!N33,'22'!N33,'23'!N33,'24'!N33,'25'!N33,'26'!N33,'27'!N33,'28'!N33,'29'!N33,'30'!N33,'31'!N33)</f>
        <v>0</v>
      </c>
      <c r="AC33" s="30">
        <f>SUM('1'!O33,'2'!O33,'3'!O33,'4'!O33,'5'!O33,'6'!O33,'7'!O33,'8'!O33,'9'!O33,'10'!O33,'11'!O33,'12'!O33,'13'!O33,'14'!O33,'15'!O33,'16'!O33,'17'!O33,'18'!O33,'19'!O33,'20'!O33,'21'!O33,'22'!O33,'23'!O33,'24'!O33,'25'!O33,'26'!O33,'27'!O33,'28'!O33,'29'!O33,'30'!O33,'31'!O33)</f>
        <v>0</v>
      </c>
    </row>
    <row r="34" spans="1:29" s="30" customFormat="1" ht="12">
      <c r="A34" s="325">
        <v>27</v>
      </c>
      <c r="B34" s="325" t="str">
        <f>IF(АП!B27&lt;&gt;0,АП!B27,"")</f>
        <v/>
      </c>
      <c r="C34" s="325" t="str">
        <f>IF(АП!C27&lt;&gt;0,АП!C27,"")</f>
        <v/>
      </c>
      <c r="D34" s="326" t="str">
        <f t="shared" si="1"/>
        <v/>
      </c>
      <c r="E34" s="326" t="str">
        <f t="shared" si="2"/>
        <v/>
      </c>
      <c r="F34" s="392" t="str">
        <f t="shared" si="3"/>
        <v/>
      </c>
      <c r="G34" s="392" t="str">
        <f t="shared" si="4"/>
        <v/>
      </c>
      <c r="H34" s="392" t="str">
        <f t="shared" si="5"/>
        <v/>
      </c>
      <c r="I34" s="392" t="str">
        <f t="shared" si="6"/>
        <v/>
      </c>
      <c r="J34" s="392" t="str">
        <f t="shared" si="7"/>
        <v/>
      </c>
      <c r="K34" s="392" t="str">
        <f t="shared" si="8"/>
        <v/>
      </c>
      <c r="L34" s="392" t="str">
        <f t="shared" si="9"/>
        <v/>
      </c>
      <c r="M34" s="130"/>
      <c r="N34" s="32"/>
      <c r="O34" s="3"/>
      <c r="P34" s="3"/>
      <c r="Q34" s="3"/>
      <c r="R34" s="3"/>
      <c r="S34" s="3"/>
      <c r="U34" s="30">
        <f>SUM('1'!G34,'2'!G34,'3'!G34,'4'!G34,'5'!G34,'6'!G34,'7'!G34,'8'!G34,'9'!G34,'10'!G34,'11'!G34,'12'!G34,'13'!G34,'14'!G34,'15'!G34,'16'!G34,'17'!G34,'18'!G34,'19'!G34,'20'!G34,'21'!G34,'22'!G34,'23'!G34,'24'!G34,'25'!G34,'26'!G34,'27'!G34,'28'!G34,'29'!G34,'30'!G34,'31'!G34)</f>
        <v>0</v>
      </c>
      <c r="V34" s="30">
        <f>SUM('1'!H34,'2'!H34,'3'!H34,'4'!H34,'5'!H34,'6'!H34,'7'!H34,'8'!H34,'9'!H34,'10'!H34,'11'!H34,'12'!H34,'13'!H34,'14'!H34,'15'!H34,'16'!H34,'17'!H34,'18'!H34,'19'!H34,'20'!H34,'21'!H34,'22'!H34,'23'!H34,'24'!H34,'25'!H34,'26'!H34,'27'!H34,'28'!H34,'29'!H34,'30'!H34,'31'!H34)</f>
        <v>0</v>
      </c>
      <c r="W34" s="30">
        <f>SUM('1'!I34,'2'!I34,'3'!I34,'4'!I34,'5'!I34,'6'!I34,'7'!I34,'8'!I34,'9'!I34,'10'!I34,'11'!I34,'12'!I34,'13'!I34,'14'!I34,'15'!I34,'16'!I34,'17'!I34,'18'!I34,'19'!I34,'20'!I34,'21'!I34,'22'!I34,'23'!I34,'24'!I34,'25'!I34,'26'!I34,'27'!I34,'28'!I34,'29'!I34,'30'!I34,'31'!I34)</f>
        <v>0</v>
      </c>
      <c r="X34" s="30">
        <f>SUM('1'!J34,'2'!J34,'3'!J34,'4'!J34,'5'!J34,'6'!J34,'7'!J34,'8'!J34,'9'!J34,'10'!J34,'11'!J34,'12'!J34,'13'!J34,'14'!J34,'15'!J34,'16'!J34,'17'!J34,'18'!J34,'19'!J34,'20'!J34,'21'!J34,'22'!J34,'23'!J34,'24'!J34,'25'!J34,'26'!J34,'27'!J34,'28'!J34,'29'!J34,'30'!J34,'31'!J34)</f>
        <v>0</v>
      </c>
      <c r="Y34" s="30">
        <f>SUM('1'!K34,'2'!K34,'3'!K34,'4'!K34,'5'!K34,'6'!K34,'7'!K34,'8'!K34,'9'!K34,'10'!K34,'11'!K34,'12'!K34,'13'!K34,'14'!K34,'15'!K34,'16'!K34,'17'!K34,'18'!K34,'19'!K34,'20'!K34,'21'!K34,'22'!K34,'23'!K34,'24'!K34,'25'!K34,'26'!K34,'27'!K34,'28'!K34,'29'!K34,'30'!K34,'31'!K34)</f>
        <v>0</v>
      </c>
      <c r="Z34" s="30">
        <f>SUM('1'!L34,'2'!L34,'3'!L34,'4'!L34,'5'!L34,'6'!L34,'7'!L34,'8'!L34,'9'!L34,'10'!L34,'11'!L34,'12'!L34,'13'!L34,'14'!L34,'15'!L34,'16'!L34,'17'!L34,'18'!L34,'19'!L34,'20'!L34,'21'!L34,'22'!L34,'23'!L34,'24'!L34,'25'!L34,'26'!L34,'27'!L34,'28'!L34,'29'!L34,'30'!L34,'31'!L34)</f>
        <v>0</v>
      </c>
      <c r="AA34" s="30">
        <f>SUM('1'!M34,'2'!M34,'3'!M34,'4'!M34,'5'!M34,'6'!M34,'7'!M34,'8'!M34,'9'!M34,'10'!M34,'11'!M34,'12'!M34,'13'!M34,'14'!M34,'15'!M34,'16'!M34,'17'!M34,'18'!M34,'19'!M34,'20'!M34,'21'!M34,'22'!M34,'23'!M34,'24'!M34,'25'!M34,'26'!M34,'27'!M34,'28'!M34,'29'!M34,'30'!M34,'31'!M34)</f>
        <v>0</v>
      </c>
      <c r="AB34" s="30">
        <f>SUM('1'!N34,'2'!N34,'3'!N34,'4'!N34,'5'!N34,'6'!N34,'7'!N34,'8'!N34,'9'!N34,'10'!N34,'11'!N34,'12'!N34,'13'!N34,'14'!N34,'15'!N34,'16'!N34,'17'!N34,'18'!N34,'19'!N34,'20'!N34,'21'!N34,'22'!N34,'23'!N34,'24'!N34,'25'!N34,'26'!N34,'27'!N34,'28'!N34,'29'!N34,'30'!N34,'31'!N34)</f>
        <v>0</v>
      </c>
      <c r="AC34" s="30">
        <f>SUM('1'!O34,'2'!O34,'3'!O34,'4'!O34,'5'!O34,'6'!O34,'7'!O34,'8'!O34,'9'!O34,'10'!O34,'11'!O34,'12'!O34,'13'!O34,'14'!O34,'15'!O34,'16'!O34,'17'!O34,'18'!O34,'19'!O34,'20'!O34,'21'!O34,'22'!O34,'23'!O34,'24'!O34,'25'!O34,'26'!O34,'27'!O34,'28'!O34,'29'!O34,'30'!O34,'31'!O34)</f>
        <v>0</v>
      </c>
    </row>
    <row r="35" spans="1:29" s="30" customFormat="1" ht="12">
      <c r="A35" s="325">
        <v>28</v>
      </c>
      <c r="B35" s="325" t="str">
        <f>IF(АП!B28&lt;&gt;0,АП!B28,"")</f>
        <v/>
      </c>
      <c r="C35" s="325" t="str">
        <f>IF(АП!C28&lt;&gt;0,АП!C28,"")</f>
        <v/>
      </c>
      <c r="D35" s="326" t="str">
        <f t="shared" si="1"/>
        <v/>
      </c>
      <c r="E35" s="326" t="str">
        <f t="shared" si="2"/>
        <v/>
      </c>
      <c r="F35" s="392" t="str">
        <f t="shared" si="3"/>
        <v/>
      </c>
      <c r="G35" s="392" t="str">
        <f t="shared" si="4"/>
        <v/>
      </c>
      <c r="H35" s="392" t="str">
        <f t="shared" si="5"/>
        <v/>
      </c>
      <c r="I35" s="392" t="str">
        <f t="shared" si="6"/>
        <v/>
      </c>
      <c r="J35" s="392" t="str">
        <f t="shared" si="7"/>
        <v/>
      </c>
      <c r="K35" s="392" t="str">
        <f t="shared" si="8"/>
        <v/>
      </c>
      <c r="L35" s="392" t="str">
        <f t="shared" si="9"/>
        <v/>
      </c>
      <c r="M35" s="130"/>
      <c r="N35" s="32"/>
      <c r="O35" s="3"/>
      <c r="P35" s="3"/>
      <c r="Q35" s="3"/>
      <c r="R35" s="3"/>
      <c r="S35" s="3"/>
      <c r="U35" s="30">
        <f>SUM('1'!G35,'2'!G35,'3'!G35,'4'!G35,'5'!G35,'6'!G35,'7'!G35,'8'!G35,'9'!G35,'10'!G35,'11'!G35,'12'!G35,'13'!G35,'14'!G35,'15'!G35,'16'!G35,'17'!G35,'18'!G35,'19'!G35,'20'!G35,'21'!G35,'22'!G35,'23'!G35,'24'!G35,'25'!G35,'26'!G35,'27'!G35,'28'!G35,'29'!G35,'30'!G35,'31'!G35)</f>
        <v>0</v>
      </c>
      <c r="V35" s="30">
        <f>SUM('1'!H35,'2'!H35,'3'!H35,'4'!H35,'5'!H35,'6'!H35,'7'!H35,'8'!H35,'9'!H35,'10'!H35,'11'!H35,'12'!H35,'13'!H35,'14'!H35,'15'!H35,'16'!H35,'17'!H35,'18'!H35,'19'!H35,'20'!H35,'21'!H35,'22'!H35,'23'!H35,'24'!H35,'25'!H35,'26'!H35,'27'!H35,'28'!H35,'29'!H35,'30'!H35,'31'!H35)</f>
        <v>0</v>
      </c>
      <c r="W35" s="30">
        <f>SUM('1'!I35,'2'!I35,'3'!I35,'4'!I35,'5'!I35,'6'!I35,'7'!I35,'8'!I35,'9'!I35,'10'!I35,'11'!I35,'12'!I35,'13'!I35,'14'!I35,'15'!I35,'16'!I35,'17'!I35,'18'!I35,'19'!I35,'20'!I35,'21'!I35,'22'!I35,'23'!I35,'24'!I35,'25'!I35,'26'!I35,'27'!I35,'28'!I35,'29'!I35,'30'!I35,'31'!I35)</f>
        <v>0</v>
      </c>
      <c r="X35" s="30">
        <f>SUM('1'!J35,'2'!J35,'3'!J35,'4'!J35,'5'!J35,'6'!J35,'7'!J35,'8'!J35,'9'!J35,'10'!J35,'11'!J35,'12'!J35,'13'!J35,'14'!J35,'15'!J35,'16'!J35,'17'!J35,'18'!J35,'19'!J35,'20'!J35,'21'!J35,'22'!J35,'23'!J35,'24'!J35,'25'!J35,'26'!J35,'27'!J35,'28'!J35,'29'!J35,'30'!J35,'31'!J35)</f>
        <v>0</v>
      </c>
      <c r="Y35" s="30">
        <f>SUM('1'!K35,'2'!K35,'3'!K35,'4'!K35,'5'!K35,'6'!K35,'7'!K35,'8'!K35,'9'!K35,'10'!K35,'11'!K35,'12'!K35,'13'!K35,'14'!K35,'15'!K35,'16'!K35,'17'!K35,'18'!K35,'19'!K35,'20'!K35,'21'!K35,'22'!K35,'23'!K35,'24'!K35,'25'!K35,'26'!K35,'27'!K35,'28'!K35,'29'!K35,'30'!K35,'31'!K35)</f>
        <v>0</v>
      </c>
      <c r="Z35" s="30">
        <f>SUM('1'!L35,'2'!L35,'3'!L35,'4'!L35,'5'!L35,'6'!L35,'7'!L35,'8'!L35,'9'!L35,'10'!L35,'11'!L35,'12'!L35,'13'!L35,'14'!L35,'15'!L35,'16'!L35,'17'!L35,'18'!L35,'19'!L35,'20'!L35,'21'!L35,'22'!L35,'23'!L35,'24'!L35,'25'!L35,'26'!L35,'27'!L35,'28'!L35,'29'!L35,'30'!L35,'31'!L35)</f>
        <v>0</v>
      </c>
      <c r="AA35" s="30">
        <f>SUM('1'!M35,'2'!M35,'3'!M35,'4'!M35,'5'!M35,'6'!M35,'7'!M35,'8'!M35,'9'!M35,'10'!M35,'11'!M35,'12'!M35,'13'!M35,'14'!M35,'15'!M35,'16'!M35,'17'!M35,'18'!M35,'19'!M35,'20'!M35,'21'!M35,'22'!M35,'23'!M35,'24'!M35,'25'!M35,'26'!M35,'27'!M35,'28'!M35,'29'!M35,'30'!M35,'31'!M35)</f>
        <v>0</v>
      </c>
      <c r="AB35" s="30">
        <f>SUM('1'!N35,'2'!N35,'3'!N35,'4'!N35,'5'!N35,'6'!N35,'7'!N35,'8'!N35,'9'!N35,'10'!N35,'11'!N35,'12'!N35,'13'!N35,'14'!N35,'15'!N35,'16'!N35,'17'!N35,'18'!N35,'19'!N35,'20'!N35,'21'!N35,'22'!N35,'23'!N35,'24'!N35,'25'!N35,'26'!N35,'27'!N35,'28'!N35,'29'!N35,'30'!N35,'31'!N35)</f>
        <v>0</v>
      </c>
      <c r="AC35" s="30">
        <f>SUM('1'!O35,'2'!O35,'3'!O35,'4'!O35,'5'!O35,'6'!O35,'7'!O35,'8'!O35,'9'!O35,'10'!O35,'11'!O35,'12'!O35,'13'!O35,'14'!O35,'15'!O35,'16'!O35,'17'!O35,'18'!O35,'19'!O35,'20'!O35,'21'!O35,'22'!O35,'23'!O35,'24'!O35,'25'!O35,'26'!O35,'27'!O35,'28'!O35,'29'!O35,'30'!O35,'31'!O35)</f>
        <v>0</v>
      </c>
    </row>
    <row r="36" spans="1:29" s="30" customFormat="1" ht="12">
      <c r="A36" s="325">
        <v>29</v>
      </c>
      <c r="B36" s="325" t="str">
        <f>IF(АП!B29&lt;&gt;0,АП!B29,"")</f>
        <v/>
      </c>
      <c r="C36" s="325" t="str">
        <f>IF(АП!C29&lt;&gt;0,АП!C29,"")</f>
        <v/>
      </c>
      <c r="D36" s="326" t="str">
        <f t="shared" si="1"/>
        <v/>
      </c>
      <c r="E36" s="326" t="str">
        <f t="shared" si="2"/>
        <v/>
      </c>
      <c r="F36" s="392" t="str">
        <f t="shared" si="3"/>
        <v/>
      </c>
      <c r="G36" s="392" t="str">
        <f t="shared" si="4"/>
        <v/>
      </c>
      <c r="H36" s="392" t="str">
        <f t="shared" si="5"/>
        <v/>
      </c>
      <c r="I36" s="392" t="str">
        <f t="shared" si="6"/>
        <v/>
      </c>
      <c r="J36" s="392" t="str">
        <f t="shared" si="7"/>
        <v/>
      </c>
      <c r="K36" s="392" t="str">
        <f t="shared" si="8"/>
        <v/>
      </c>
      <c r="L36" s="392" t="str">
        <f t="shared" si="9"/>
        <v/>
      </c>
      <c r="M36" s="130"/>
      <c r="N36" s="32"/>
      <c r="O36" s="3"/>
      <c r="P36" s="3"/>
      <c r="Q36" s="3"/>
      <c r="R36" s="3"/>
      <c r="S36" s="3"/>
      <c r="U36" s="30">
        <f>SUM('1'!G36,'2'!G36,'3'!G36,'4'!G36,'5'!G36,'6'!G36,'7'!G36,'8'!G36,'9'!G36,'10'!G36,'11'!G36,'12'!G36,'13'!G36,'14'!G36,'15'!G36,'16'!G36,'17'!G36,'18'!G36,'19'!G36,'20'!G36,'21'!G36,'22'!G36,'23'!G36,'24'!G36,'25'!G36,'26'!G36,'27'!G36,'28'!G36,'29'!G36,'30'!G36,'31'!G36)</f>
        <v>0</v>
      </c>
      <c r="V36" s="30">
        <f>SUM('1'!H36,'2'!H36,'3'!H36,'4'!H36,'5'!H36,'6'!H36,'7'!H36,'8'!H36,'9'!H36,'10'!H36,'11'!H36,'12'!H36,'13'!H36,'14'!H36,'15'!H36,'16'!H36,'17'!H36,'18'!H36,'19'!H36,'20'!H36,'21'!H36,'22'!H36,'23'!H36,'24'!H36,'25'!H36,'26'!H36,'27'!H36,'28'!H36,'29'!H36,'30'!H36,'31'!H36)</f>
        <v>0</v>
      </c>
      <c r="W36" s="30">
        <f>SUM('1'!I36,'2'!I36,'3'!I36,'4'!I36,'5'!I36,'6'!I36,'7'!I36,'8'!I36,'9'!I36,'10'!I36,'11'!I36,'12'!I36,'13'!I36,'14'!I36,'15'!I36,'16'!I36,'17'!I36,'18'!I36,'19'!I36,'20'!I36,'21'!I36,'22'!I36,'23'!I36,'24'!I36,'25'!I36,'26'!I36,'27'!I36,'28'!I36,'29'!I36,'30'!I36,'31'!I36)</f>
        <v>0</v>
      </c>
      <c r="X36" s="30">
        <f>SUM('1'!J36,'2'!J36,'3'!J36,'4'!J36,'5'!J36,'6'!J36,'7'!J36,'8'!J36,'9'!J36,'10'!J36,'11'!J36,'12'!J36,'13'!J36,'14'!J36,'15'!J36,'16'!J36,'17'!J36,'18'!J36,'19'!J36,'20'!J36,'21'!J36,'22'!J36,'23'!J36,'24'!J36,'25'!J36,'26'!J36,'27'!J36,'28'!J36,'29'!J36,'30'!J36,'31'!J36)</f>
        <v>0</v>
      </c>
      <c r="Y36" s="30">
        <f>SUM('1'!K36,'2'!K36,'3'!K36,'4'!K36,'5'!K36,'6'!K36,'7'!K36,'8'!K36,'9'!K36,'10'!K36,'11'!K36,'12'!K36,'13'!K36,'14'!K36,'15'!K36,'16'!K36,'17'!K36,'18'!K36,'19'!K36,'20'!K36,'21'!K36,'22'!K36,'23'!K36,'24'!K36,'25'!K36,'26'!K36,'27'!K36,'28'!K36,'29'!K36,'30'!K36,'31'!K36)</f>
        <v>0</v>
      </c>
      <c r="Z36" s="30">
        <f>SUM('1'!L36,'2'!L36,'3'!L36,'4'!L36,'5'!L36,'6'!L36,'7'!L36,'8'!L36,'9'!L36,'10'!L36,'11'!L36,'12'!L36,'13'!L36,'14'!L36,'15'!L36,'16'!L36,'17'!L36,'18'!L36,'19'!L36,'20'!L36,'21'!L36,'22'!L36,'23'!L36,'24'!L36,'25'!L36,'26'!L36,'27'!L36,'28'!L36,'29'!L36,'30'!L36,'31'!L36)</f>
        <v>0</v>
      </c>
      <c r="AA36" s="30">
        <f>SUM('1'!M36,'2'!M36,'3'!M36,'4'!M36,'5'!M36,'6'!M36,'7'!M36,'8'!M36,'9'!M36,'10'!M36,'11'!M36,'12'!M36,'13'!M36,'14'!M36,'15'!M36,'16'!M36,'17'!M36,'18'!M36,'19'!M36,'20'!M36,'21'!M36,'22'!M36,'23'!M36,'24'!M36,'25'!M36,'26'!M36,'27'!M36,'28'!M36,'29'!M36,'30'!M36,'31'!M36)</f>
        <v>0</v>
      </c>
      <c r="AB36" s="30">
        <f>SUM('1'!N36,'2'!N36,'3'!N36,'4'!N36,'5'!N36,'6'!N36,'7'!N36,'8'!N36,'9'!N36,'10'!N36,'11'!N36,'12'!N36,'13'!N36,'14'!N36,'15'!N36,'16'!N36,'17'!N36,'18'!N36,'19'!N36,'20'!N36,'21'!N36,'22'!N36,'23'!N36,'24'!N36,'25'!N36,'26'!N36,'27'!N36,'28'!N36,'29'!N36,'30'!N36,'31'!N36)</f>
        <v>0</v>
      </c>
      <c r="AC36" s="30">
        <f>SUM('1'!O36,'2'!O36,'3'!O36,'4'!O36,'5'!O36,'6'!O36,'7'!O36,'8'!O36,'9'!O36,'10'!O36,'11'!O36,'12'!O36,'13'!O36,'14'!O36,'15'!O36,'16'!O36,'17'!O36,'18'!O36,'19'!O36,'20'!O36,'21'!O36,'22'!O36,'23'!O36,'24'!O36,'25'!O36,'26'!O36,'27'!O36,'28'!O36,'29'!O36,'30'!O36,'31'!O36)</f>
        <v>0</v>
      </c>
    </row>
    <row r="37" spans="1:29" s="30" customFormat="1" ht="12.75" thickBot="1">
      <c r="A37" s="346">
        <v>30</v>
      </c>
      <c r="B37" s="346" t="str">
        <f>IF(АП!B30&lt;&gt;0,АП!B30,"")</f>
        <v/>
      </c>
      <c r="C37" s="346" t="str">
        <f>IF(АП!C30&lt;&gt;0,АП!C30,"")</f>
        <v/>
      </c>
      <c r="D37" s="348" t="str">
        <f t="shared" si="1"/>
        <v/>
      </c>
      <c r="E37" s="348" t="str">
        <f t="shared" si="2"/>
        <v/>
      </c>
      <c r="F37" s="393" t="str">
        <f t="shared" si="3"/>
        <v/>
      </c>
      <c r="G37" s="393" t="str">
        <f t="shared" si="4"/>
        <v/>
      </c>
      <c r="H37" s="393" t="str">
        <f t="shared" si="5"/>
        <v/>
      </c>
      <c r="I37" s="393" t="str">
        <f t="shared" si="6"/>
        <v/>
      </c>
      <c r="J37" s="393" t="str">
        <f t="shared" si="7"/>
        <v/>
      </c>
      <c r="K37" s="393" t="str">
        <f t="shared" si="8"/>
        <v/>
      </c>
      <c r="L37" s="393" t="str">
        <f t="shared" si="9"/>
        <v/>
      </c>
      <c r="M37" s="354"/>
      <c r="N37" s="32"/>
      <c r="O37" s="3"/>
      <c r="P37" s="3"/>
      <c r="Q37" s="3"/>
      <c r="R37" s="3"/>
      <c r="S37" s="3"/>
      <c r="U37" s="30">
        <f>SUM('1'!G37,'2'!G37,'3'!G37,'4'!G37,'5'!G37,'6'!G37,'7'!G37,'8'!G37,'9'!G37,'10'!G37,'11'!G37,'12'!G37,'13'!G37,'14'!G37,'15'!G37,'16'!G37,'17'!G37,'18'!G37,'19'!G37,'20'!G37,'21'!G37,'22'!G37,'23'!G37,'24'!G37,'25'!G37,'26'!G37,'27'!G37,'28'!G37,'29'!G37,'30'!G37,'31'!G37)</f>
        <v>0</v>
      </c>
      <c r="V37" s="30">
        <f>SUM('1'!H37,'2'!H37,'3'!H37,'4'!H37,'5'!H37,'6'!H37,'7'!H37,'8'!H37,'9'!H37,'10'!H37,'11'!H37,'12'!H37,'13'!H37,'14'!H37,'15'!H37,'16'!H37,'17'!H37,'18'!H37,'19'!H37,'20'!H37,'21'!H37,'22'!H37,'23'!H37,'24'!H37,'25'!H37,'26'!H37,'27'!H37,'28'!H37,'29'!H37,'30'!H37,'31'!H37)</f>
        <v>0</v>
      </c>
      <c r="W37" s="30">
        <f>SUM('1'!I37,'2'!I37,'3'!I37,'4'!I37,'5'!I37,'6'!I37,'7'!I37,'8'!I37,'9'!I37,'10'!I37,'11'!I37,'12'!I37,'13'!I37,'14'!I37,'15'!I37,'16'!I37,'17'!I37,'18'!I37,'19'!I37,'20'!I37,'21'!I37,'22'!I37,'23'!I37,'24'!I37,'25'!I37,'26'!I37,'27'!I37,'28'!I37,'29'!I37,'30'!I37,'31'!I37)</f>
        <v>0</v>
      </c>
      <c r="X37" s="30">
        <f>SUM('1'!J37,'2'!J37,'3'!J37,'4'!J37,'5'!J37,'6'!J37,'7'!J37,'8'!J37,'9'!J37,'10'!J37,'11'!J37,'12'!J37,'13'!J37,'14'!J37,'15'!J37,'16'!J37,'17'!J37,'18'!J37,'19'!J37,'20'!J37,'21'!J37,'22'!J37,'23'!J37,'24'!J37,'25'!J37,'26'!J37,'27'!J37,'28'!J37,'29'!J37,'30'!J37,'31'!J37)</f>
        <v>0</v>
      </c>
      <c r="Y37" s="30">
        <f>SUM('1'!K37,'2'!K37,'3'!K37,'4'!K37,'5'!K37,'6'!K37,'7'!K37,'8'!K37,'9'!K37,'10'!K37,'11'!K37,'12'!K37,'13'!K37,'14'!K37,'15'!K37,'16'!K37,'17'!K37,'18'!K37,'19'!K37,'20'!K37,'21'!K37,'22'!K37,'23'!K37,'24'!K37,'25'!K37,'26'!K37,'27'!K37,'28'!K37,'29'!K37,'30'!K37,'31'!K37)</f>
        <v>0</v>
      </c>
      <c r="Z37" s="30">
        <f>SUM('1'!L37,'2'!L37,'3'!L37,'4'!L37,'5'!L37,'6'!L37,'7'!L37,'8'!L37,'9'!L37,'10'!L37,'11'!L37,'12'!L37,'13'!L37,'14'!L37,'15'!L37,'16'!L37,'17'!L37,'18'!L37,'19'!L37,'20'!L37,'21'!L37,'22'!L37,'23'!L37,'24'!L37,'25'!L37,'26'!L37,'27'!L37,'28'!L37,'29'!L37,'30'!L37,'31'!L37)</f>
        <v>0</v>
      </c>
      <c r="AA37" s="30">
        <f>SUM('1'!M37,'2'!M37,'3'!M37,'4'!M37,'5'!M37,'6'!M37,'7'!M37,'8'!M37,'9'!M37,'10'!M37,'11'!M37,'12'!M37,'13'!M37,'14'!M37,'15'!M37,'16'!M37,'17'!M37,'18'!M37,'19'!M37,'20'!M37,'21'!M37,'22'!M37,'23'!M37,'24'!M37,'25'!M37,'26'!M37,'27'!M37,'28'!M37,'29'!M37,'30'!M37,'31'!M37)</f>
        <v>0</v>
      </c>
      <c r="AB37" s="30">
        <f>SUM('1'!N37,'2'!N37,'3'!N37,'4'!N37,'5'!N37,'6'!N37,'7'!N37,'8'!N37,'9'!N37,'10'!N37,'11'!N37,'12'!N37,'13'!N37,'14'!N37,'15'!N37,'16'!N37,'17'!N37,'18'!N37,'19'!N37,'20'!N37,'21'!N37,'22'!N37,'23'!N37,'24'!N37,'25'!N37,'26'!N37,'27'!N37,'28'!N37,'29'!N37,'30'!N37,'31'!N37)</f>
        <v>0</v>
      </c>
      <c r="AC37" s="30">
        <f>SUM('1'!O37,'2'!O37,'3'!O37,'4'!O37,'5'!O37,'6'!O37,'7'!O37,'8'!O37,'9'!O37,'10'!O37,'11'!O37,'12'!O37,'13'!O37,'14'!O37,'15'!O37,'16'!O37,'17'!O37,'18'!O37,'19'!O37,'20'!O37,'21'!O37,'22'!O37,'23'!O37,'24'!O37,'25'!O37,'26'!O37,'27'!O37,'28'!O37,'29'!O37,'30'!O37,'31'!O37)</f>
        <v>0</v>
      </c>
    </row>
    <row r="38" spans="1:29" s="30" customFormat="1" ht="12">
      <c r="A38" s="339">
        <v>31</v>
      </c>
      <c r="B38" s="339" t="str">
        <f>IF(АП!B31&lt;&gt;0,АП!B31,"")</f>
        <v>РДМ-33</v>
      </c>
      <c r="C38" s="339">
        <f>IF(АП!C31&lt;&gt;0,АП!C31,"")</f>
        <v>1258</v>
      </c>
      <c r="D38" s="341" t="str">
        <f t="shared" si="1"/>
        <v/>
      </c>
      <c r="E38" s="341" t="str">
        <f t="shared" si="2"/>
        <v/>
      </c>
      <c r="F38" s="394" t="str">
        <f t="shared" si="3"/>
        <v/>
      </c>
      <c r="G38" s="394" t="str">
        <f t="shared" si="4"/>
        <v/>
      </c>
      <c r="H38" s="394">
        <f t="shared" si="5"/>
        <v>239</v>
      </c>
      <c r="I38" s="394">
        <f t="shared" si="6"/>
        <v>315</v>
      </c>
      <c r="J38" s="394">
        <f t="shared" si="7"/>
        <v>4</v>
      </c>
      <c r="K38" s="394" t="str">
        <f t="shared" si="8"/>
        <v/>
      </c>
      <c r="L38" s="394" t="str">
        <f t="shared" si="9"/>
        <v/>
      </c>
      <c r="M38" s="345"/>
      <c r="N38" s="32"/>
      <c r="O38" s="3"/>
      <c r="P38" s="3"/>
      <c r="Q38" s="3"/>
      <c r="R38" s="3"/>
      <c r="S38" s="3"/>
      <c r="U38" s="30">
        <f>SUM('1'!G38,'2'!G38,'3'!G38,'4'!G38,'5'!G38,'6'!G38,'7'!G38,'8'!G38,'9'!G38,'10'!G38,'11'!G38,'12'!G38,'13'!G38,'14'!G38,'15'!G38,'16'!G38,'17'!G38,'18'!G38,'19'!G38,'20'!G38,'21'!G38,'22'!G38,'23'!G38,'24'!G38,'25'!G38,'26'!G38,'27'!G38,'28'!G38,'29'!G38,'30'!G38,'31'!G38)</f>
        <v>0</v>
      </c>
      <c r="V38" s="30">
        <f>SUM('1'!H38,'2'!H38,'3'!H38,'4'!H38,'5'!H38,'6'!H38,'7'!H38,'8'!H38,'9'!H38,'10'!H38,'11'!H38,'12'!H38,'13'!H38,'14'!H38,'15'!H38,'16'!H38,'17'!H38,'18'!H38,'19'!H38,'20'!H38,'21'!H38,'22'!H38,'23'!H38,'24'!H38,'25'!H38,'26'!H38,'27'!H38,'28'!H38,'29'!H38,'30'!H38,'31'!H38)</f>
        <v>0</v>
      </c>
      <c r="W38" s="30">
        <f>SUM('1'!I38,'2'!I38,'3'!I38,'4'!I38,'5'!I38,'6'!I38,'7'!I38,'8'!I38,'9'!I38,'10'!I38,'11'!I38,'12'!I38,'13'!I38,'14'!I38,'15'!I38,'16'!I38,'17'!I38,'18'!I38,'19'!I38,'20'!I38,'21'!I38,'22'!I38,'23'!I38,'24'!I38,'25'!I38,'26'!I38,'27'!I38,'28'!I38,'29'!I38,'30'!I38,'31'!I38)</f>
        <v>0</v>
      </c>
      <c r="X38" s="30">
        <f>SUM('1'!J38,'2'!J38,'3'!J38,'4'!J38,'5'!J38,'6'!J38,'7'!J38,'8'!J38,'9'!J38,'10'!J38,'11'!J38,'12'!J38,'13'!J38,'14'!J38,'15'!J38,'16'!J38,'17'!J38,'18'!J38,'19'!J38,'20'!J38,'21'!J38,'22'!J38,'23'!J38,'24'!J38,'25'!J38,'26'!J38,'27'!J38,'28'!J38,'29'!J38,'30'!J38,'31'!J38)</f>
        <v>0</v>
      </c>
      <c r="Y38" s="30">
        <f>SUM('1'!K38,'2'!K38,'3'!K38,'4'!K38,'5'!K38,'6'!K38,'7'!K38,'8'!K38,'9'!K38,'10'!K38,'11'!K38,'12'!K38,'13'!K38,'14'!K38,'15'!K38,'16'!K38,'17'!K38,'18'!K38,'19'!K38,'20'!K38,'21'!K38,'22'!K38,'23'!K38,'24'!K38,'25'!K38,'26'!K38,'27'!K38,'28'!K38,'29'!K38,'30'!K38,'31'!K38)</f>
        <v>239</v>
      </c>
      <c r="Z38" s="30">
        <f>SUM('1'!L38,'2'!L38,'3'!L38,'4'!L38,'5'!L38,'6'!L38,'7'!L38,'8'!L38,'9'!L38,'10'!L38,'11'!L38,'12'!L38,'13'!L38,'14'!L38,'15'!L38,'16'!L38,'17'!L38,'18'!L38,'19'!L38,'20'!L38,'21'!L38,'22'!L38,'23'!L38,'24'!L38,'25'!L38,'26'!L38,'27'!L38,'28'!L38,'29'!L38,'30'!L38,'31'!L38)</f>
        <v>315</v>
      </c>
      <c r="AA38" s="30">
        <f>SUM('1'!M38,'2'!M38,'3'!M38,'4'!M38,'5'!M38,'6'!M38,'7'!M38,'8'!M38,'9'!M38,'10'!M38,'11'!M38,'12'!M38,'13'!M38,'14'!M38,'15'!M38,'16'!M38,'17'!M38,'18'!M38,'19'!M38,'20'!M38,'21'!M38,'22'!M38,'23'!M38,'24'!M38,'25'!M38,'26'!M38,'27'!M38,'28'!M38,'29'!M38,'30'!M38,'31'!M38)</f>
        <v>4</v>
      </c>
      <c r="AB38" s="30">
        <f>SUM('1'!N38,'2'!N38,'3'!N38,'4'!N38,'5'!N38,'6'!N38,'7'!N38,'8'!N38,'9'!N38,'10'!N38,'11'!N38,'12'!N38,'13'!N38,'14'!N38,'15'!N38,'16'!N38,'17'!N38,'18'!N38,'19'!N38,'20'!N38,'21'!N38,'22'!N38,'23'!N38,'24'!N38,'25'!N38,'26'!N38,'27'!N38,'28'!N38,'29'!N38,'30'!N38,'31'!N38)</f>
        <v>0</v>
      </c>
      <c r="AC38" s="30">
        <f>SUM('1'!O38,'2'!O38,'3'!O38,'4'!O38,'5'!O38,'6'!O38,'7'!O38,'8'!O38,'9'!O38,'10'!O38,'11'!O38,'12'!O38,'13'!O38,'14'!O38,'15'!O38,'16'!O38,'17'!O38,'18'!O38,'19'!O38,'20'!O38,'21'!O38,'22'!O38,'23'!O38,'24'!O38,'25'!O38,'26'!O38,'27'!O38,'28'!O38,'29'!O38,'30'!O38,'31'!O38)</f>
        <v>0</v>
      </c>
    </row>
    <row r="39" spans="1:29" s="30" customFormat="1" ht="12">
      <c r="A39" s="325">
        <v>32</v>
      </c>
      <c r="B39" s="325" t="str">
        <f>IF(АП!B32&lt;&gt;0,АП!B32,"")</f>
        <v>УД3-71</v>
      </c>
      <c r="C39" s="325">
        <f>IF(АП!C32&lt;&gt;0,АП!C32,"")</f>
        <v>1495</v>
      </c>
      <c r="D39" s="326" t="str">
        <f t="shared" si="1"/>
        <v/>
      </c>
      <c r="E39" s="326" t="str">
        <f t="shared" si="2"/>
        <v/>
      </c>
      <c r="F39" s="392" t="str">
        <f t="shared" si="3"/>
        <v/>
      </c>
      <c r="G39" s="392" t="str">
        <f t="shared" si="4"/>
        <v/>
      </c>
      <c r="H39" s="392">
        <f t="shared" si="5"/>
        <v>201</v>
      </c>
      <c r="I39" s="392">
        <f t="shared" si="6"/>
        <v>228</v>
      </c>
      <c r="J39" s="392" t="str">
        <f t="shared" si="7"/>
        <v/>
      </c>
      <c r="K39" s="392" t="str">
        <f t="shared" si="8"/>
        <v/>
      </c>
      <c r="L39" s="392" t="str">
        <f t="shared" si="9"/>
        <v/>
      </c>
      <c r="M39" s="130"/>
      <c r="N39" s="32"/>
      <c r="O39" s="3"/>
      <c r="P39" s="3"/>
      <c r="Q39" s="3"/>
      <c r="R39" s="3"/>
      <c r="S39" s="3"/>
      <c r="U39" s="30">
        <f>SUM('1'!G39,'2'!G39,'3'!G39,'4'!G39,'5'!G39,'6'!G39,'7'!G39,'8'!G39,'9'!G39,'10'!G39,'11'!G39,'12'!G39,'13'!G39,'14'!G39,'15'!G39,'16'!G39,'17'!G39,'18'!G39,'19'!G39,'20'!G39,'21'!G39,'22'!G39,'23'!G39,'24'!G39,'25'!G39,'26'!G39,'27'!G39,'28'!G39,'29'!G39,'30'!G39,'31'!G39)</f>
        <v>0</v>
      </c>
      <c r="V39" s="30">
        <f>SUM('1'!H39,'2'!H39,'3'!H39,'4'!H39,'5'!H39,'6'!H39,'7'!H39,'8'!H39,'9'!H39,'10'!H39,'11'!H39,'12'!H39,'13'!H39,'14'!H39,'15'!H39,'16'!H39,'17'!H39,'18'!H39,'19'!H39,'20'!H39,'21'!H39,'22'!H39,'23'!H39,'24'!H39,'25'!H39,'26'!H39,'27'!H39,'28'!H39,'29'!H39,'30'!H39,'31'!H39)</f>
        <v>0</v>
      </c>
      <c r="W39" s="30">
        <f>SUM('1'!I39,'2'!I39,'3'!I39,'4'!I39,'5'!I39,'6'!I39,'7'!I39,'8'!I39,'9'!I39,'10'!I39,'11'!I39,'12'!I39,'13'!I39,'14'!I39,'15'!I39,'16'!I39,'17'!I39,'18'!I39,'19'!I39,'20'!I39,'21'!I39,'22'!I39,'23'!I39,'24'!I39,'25'!I39,'26'!I39,'27'!I39,'28'!I39,'29'!I39,'30'!I39,'31'!I39)</f>
        <v>0</v>
      </c>
      <c r="X39" s="30">
        <f>SUM('1'!J39,'2'!J39,'3'!J39,'4'!J39,'5'!J39,'6'!J39,'7'!J39,'8'!J39,'9'!J39,'10'!J39,'11'!J39,'12'!J39,'13'!J39,'14'!J39,'15'!J39,'16'!J39,'17'!J39,'18'!J39,'19'!J39,'20'!J39,'21'!J39,'22'!J39,'23'!J39,'24'!J39,'25'!J39,'26'!J39,'27'!J39,'28'!J39,'29'!J39,'30'!J39,'31'!J39)</f>
        <v>0</v>
      </c>
      <c r="Y39" s="30">
        <f>SUM('1'!K39,'2'!K39,'3'!K39,'4'!K39,'5'!K39,'6'!K39,'7'!K39,'8'!K39,'9'!K39,'10'!K39,'11'!K39,'12'!K39,'13'!K39,'14'!K39,'15'!K39,'16'!K39,'17'!K39,'18'!K39,'19'!K39,'20'!K39,'21'!K39,'22'!K39,'23'!K39,'24'!K39,'25'!K39,'26'!K39,'27'!K39,'28'!K39,'29'!K39,'30'!K39,'31'!K39)</f>
        <v>201</v>
      </c>
      <c r="Z39" s="30">
        <f>SUM('1'!L39,'2'!L39,'3'!L39,'4'!L39,'5'!L39,'6'!L39,'7'!L39,'8'!L39,'9'!L39,'10'!L39,'11'!L39,'12'!L39,'13'!L39,'14'!L39,'15'!L39,'16'!L39,'17'!L39,'18'!L39,'19'!L39,'20'!L39,'21'!L39,'22'!L39,'23'!L39,'24'!L39,'25'!L39,'26'!L39,'27'!L39,'28'!L39,'29'!L39,'30'!L39,'31'!L39)</f>
        <v>228</v>
      </c>
      <c r="AA39" s="30">
        <f>SUM('1'!M39,'2'!M39,'3'!M39,'4'!M39,'5'!M39,'6'!M39,'7'!M39,'8'!M39,'9'!M39,'10'!M39,'11'!M39,'12'!M39,'13'!M39,'14'!M39,'15'!M39,'16'!M39,'17'!M39,'18'!M39,'19'!M39,'20'!M39,'21'!M39,'22'!M39,'23'!M39,'24'!M39,'25'!M39,'26'!M39,'27'!M39,'28'!M39,'29'!M39,'30'!M39,'31'!M39)</f>
        <v>0</v>
      </c>
      <c r="AB39" s="30">
        <f>SUM('1'!N39,'2'!N39,'3'!N39,'4'!N39,'5'!N39,'6'!N39,'7'!N39,'8'!N39,'9'!N39,'10'!N39,'11'!N39,'12'!N39,'13'!N39,'14'!N39,'15'!N39,'16'!N39,'17'!N39,'18'!N39,'19'!N39,'20'!N39,'21'!N39,'22'!N39,'23'!N39,'24'!N39,'25'!N39,'26'!N39,'27'!N39,'28'!N39,'29'!N39,'30'!N39,'31'!N39)</f>
        <v>0</v>
      </c>
      <c r="AC39" s="30">
        <f>SUM('1'!O39,'2'!O39,'3'!O39,'4'!O39,'5'!O39,'6'!O39,'7'!O39,'8'!O39,'9'!O39,'10'!O39,'11'!O39,'12'!O39,'13'!O39,'14'!O39,'15'!O39,'16'!O39,'17'!O39,'18'!O39,'19'!O39,'20'!O39,'21'!O39,'22'!O39,'23'!O39,'24'!O39,'25'!O39,'26'!O39,'27'!O39,'28'!O39,'29'!O39,'30'!O39,'31'!O39)</f>
        <v>0</v>
      </c>
    </row>
    <row r="40" spans="1:29" s="30" customFormat="1" ht="12">
      <c r="A40" s="325">
        <v>33</v>
      </c>
      <c r="B40" s="325" t="str">
        <f>IF(АП!B33&lt;&gt;0,АП!B33,"")</f>
        <v>РДМ-3</v>
      </c>
      <c r="C40" s="325">
        <f>IF(АП!C33&lt;&gt;0,АП!C33,"")</f>
        <v>505</v>
      </c>
      <c r="D40" s="326" t="str">
        <f t="shared" si="1"/>
        <v/>
      </c>
      <c r="E40" s="326" t="str">
        <f t="shared" si="2"/>
        <v/>
      </c>
      <c r="F40" s="392" t="str">
        <f t="shared" si="3"/>
        <v/>
      </c>
      <c r="G40" s="392" t="str">
        <f t="shared" si="4"/>
        <v/>
      </c>
      <c r="H40" s="392">
        <f t="shared" si="5"/>
        <v>965</v>
      </c>
      <c r="I40" s="392">
        <f t="shared" si="6"/>
        <v>965</v>
      </c>
      <c r="J40" s="392" t="str">
        <f t="shared" si="7"/>
        <v/>
      </c>
      <c r="K40" s="392" t="str">
        <f t="shared" si="8"/>
        <v/>
      </c>
      <c r="L40" s="392" t="str">
        <f t="shared" si="9"/>
        <v/>
      </c>
      <c r="M40" s="130"/>
      <c r="N40" s="32"/>
      <c r="O40" s="3"/>
      <c r="P40" s="3"/>
      <c r="Q40" s="3"/>
      <c r="R40" s="3"/>
      <c r="S40" s="3"/>
      <c r="U40" s="30">
        <f>SUM('1'!G40,'2'!G40,'3'!G40,'4'!G40,'5'!G40,'6'!G40,'7'!G40,'8'!G40,'9'!G40,'10'!G40,'11'!G40,'12'!G40,'13'!G40,'14'!G40,'15'!G40,'16'!G40,'17'!G40,'18'!G40,'19'!G40,'20'!G40,'21'!G40,'22'!G40,'23'!G40,'24'!G40,'25'!G40,'26'!G40,'27'!G40,'28'!G40,'29'!G40,'30'!G40,'31'!G40)</f>
        <v>0</v>
      </c>
      <c r="V40" s="30">
        <f>SUM('1'!H40,'2'!H40,'3'!H40,'4'!H40,'5'!H40,'6'!H40,'7'!H40,'8'!H40,'9'!H40,'10'!H40,'11'!H40,'12'!H40,'13'!H40,'14'!H40,'15'!H40,'16'!H40,'17'!H40,'18'!H40,'19'!H40,'20'!H40,'21'!H40,'22'!H40,'23'!H40,'24'!H40,'25'!H40,'26'!H40,'27'!H40,'28'!H40,'29'!H40,'30'!H40,'31'!H40)</f>
        <v>0</v>
      </c>
      <c r="W40" s="30">
        <f>SUM('1'!I40,'2'!I40,'3'!I40,'4'!I40,'5'!I40,'6'!I40,'7'!I40,'8'!I40,'9'!I40,'10'!I40,'11'!I40,'12'!I40,'13'!I40,'14'!I40,'15'!I40,'16'!I40,'17'!I40,'18'!I40,'19'!I40,'20'!I40,'21'!I40,'22'!I40,'23'!I40,'24'!I40,'25'!I40,'26'!I40,'27'!I40,'28'!I40,'29'!I40,'30'!I40,'31'!I40)</f>
        <v>0</v>
      </c>
      <c r="X40" s="30">
        <f>SUM('1'!J40,'2'!J40,'3'!J40,'4'!J40,'5'!J40,'6'!J40,'7'!J40,'8'!J40,'9'!J40,'10'!J40,'11'!J40,'12'!J40,'13'!J40,'14'!J40,'15'!J40,'16'!J40,'17'!J40,'18'!J40,'19'!J40,'20'!J40,'21'!J40,'22'!J40,'23'!J40,'24'!J40,'25'!J40,'26'!J40,'27'!J40,'28'!J40,'29'!J40,'30'!J40,'31'!J40)</f>
        <v>0</v>
      </c>
      <c r="Y40" s="30">
        <f>SUM('1'!K40,'2'!K40,'3'!K40,'4'!K40,'5'!K40,'6'!K40,'7'!K40,'8'!K40,'9'!K40,'10'!K40,'11'!K40,'12'!K40,'13'!K40,'14'!K40,'15'!K40,'16'!K40,'17'!K40,'18'!K40,'19'!K40,'20'!K40,'21'!K40,'22'!K40,'23'!K40,'24'!K40,'25'!K40,'26'!K40,'27'!K40,'28'!K40,'29'!K40,'30'!K40,'31'!K40)</f>
        <v>965</v>
      </c>
      <c r="Z40" s="30">
        <f>SUM('1'!L40,'2'!L40,'3'!L40,'4'!L40,'5'!L40,'6'!L40,'7'!L40,'8'!L40,'9'!L40,'10'!L40,'11'!L40,'12'!L40,'13'!L40,'14'!L40,'15'!L40,'16'!L40,'17'!L40,'18'!L40,'19'!L40,'20'!L40,'21'!L40,'22'!L40,'23'!L40,'24'!L40,'25'!L40,'26'!L40,'27'!L40,'28'!L40,'29'!L40,'30'!L40,'31'!L40)</f>
        <v>965</v>
      </c>
      <c r="AA40" s="30">
        <f>SUM('1'!M40,'2'!M40,'3'!M40,'4'!M40,'5'!M40,'6'!M40,'7'!M40,'8'!M40,'9'!M40,'10'!M40,'11'!M40,'12'!M40,'13'!M40,'14'!M40,'15'!M40,'16'!M40,'17'!M40,'18'!M40,'19'!M40,'20'!M40,'21'!M40,'22'!M40,'23'!M40,'24'!M40,'25'!M40,'26'!M40,'27'!M40,'28'!M40,'29'!M40,'30'!M40,'31'!M40)</f>
        <v>0</v>
      </c>
      <c r="AB40" s="30">
        <f>SUM('1'!N40,'2'!N40,'3'!N40,'4'!N40,'5'!N40,'6'!N40,'7'!N40,'8'!N40,'9'!N40,'10'!N40,'11'!N40,'12'!N40,'13'!N40,'14'!N40,'15'!N40,'16'!N40,'17'!N40,'18'!N40,'19'!N40,'20'!N40,'21'!N40,'22'!N40,'23'!N40,'24'!N40,'25'!N40,'26'!N40,'27'!N40,'28'!N40,'29'!N40,'30'!N40,'31'!N40)</f>
        <v>0</v>
      </c>
      <c r="AC40" s="30">
        <f>SUM('1'!O40,'2'!O40,'3'!O40,'4'!O40,'5'!O40,'6'!O40,'7'!O40,'8'!O40,'9'!O40,'10'!O40,'11'!O40,'12'!O40,'13'!O40,'14'!O40,'15'!O40,'16'!O40,'17'!O40,'18'!O40,'19'!O40,'20'!O40,'21'!O40,'22'!O40,'23'!O40,'24'!O40,'25'!O40,'26'!O40,'27'!O40,'28'!O40,'29'!O40,'30'!O40,'31'!O40)</f>
        <v>0</v>
      </c>
    </row>
    <row r="41" spans="1:29" s="30" customFormat="1" ht="12">
      <c r="A41" s="325">
        <v>34</v>
      </c>
      <c r="B41" s="325" t="str">
        <f>IF(АП!B34&lt;&gt;0,АП!B34,"")</f>
        <v>Рельс-6</v>
      </c>
      <c r="C41" s="325">
        <f>IF(АП!C34&lt;&gt;0,АП!C34,"")</f>
        <v>1548</v>
      </c>
      <c r="D41" s="326" t="str">
        <f t="shared" si="1"/>
        <v/>
      </c>
      <c r="E41" s="326" t="str">
        <f t="shared" si="2"/>
        <v/>
      </c>
      <c r="F41" s="392" t="str">
        <f t="shared" si="3"/>
        <v/>
      </c>
      <c r="G41" s="392" t="str">
        <f t="shared" si="4"/>
        <v/>
      </c>
      <c r="H41" s="392" t="str">
        <f t="shared" si="5"/>
        <v/>
      </c>
      <c r="I41" s="392" t="str">
        <f t="shared" si="6"/>
        <v/>
      </c>
      <c r="J41" s="392" t="str">
        <f t="shared" si="7"/>
        <v/>
      </c>
      <c r="K41" s="392" t="str">
        <f t="shared" si="8"/>
        <v/>
      </c>
      <c r="L41" s="392" t="str">
        <f t="shared" si="9"/>
        <v/>
      </c>
      <c r="M41" s="130"/>
      <c r="N41" s="32"/>
      <c r="O41" s="3"/>
      <c r="P41" s="3"/>
      <c r="Q41" s="3"/>
      <c r="R41" s="3"/>
      <c r="S41" s="3"/>
      <c r="U41" s="30">
        <f>SUM('1'!G41,'2'!G41,'3'!G41,'4'!G41,'5'!G41,'6'!G41,'7'!G41,'8'!G41,'9'!G41,'10'!G41,'11'!G41,'12'!G41,'13'!G41,'14'!G41,'15'!G41,'16'!G41,'17'!G41,'18'!G41,'19'!G41,'20'!G41,'21'!G41,'22'!G41,'23'!G41,'24'!G41,'25'!G41,'26'!G41,'27'!G41,'28'!G41,'29'!G41,'30'!G41,'31'!G41)</f>
        <v>0</v>
      </c>
      <c r="V41" s="30">
        <f>SUM('1'!H41,'2'!H41,'3'!H41,'4'!H41,'5'!H41,'6'!H41,'7'!H41,'8'!H41,'9'!H41,'10'!H41,'11'!H41,'12'!H41,'13'!H41,'14'!H41,'15'!H41,'16'!H41,'17'!H41,'18'!H41,'19'!H41,'20'!H41,'21'!H41,'22'!H41,'23'!H41,'24'!H41,'25'!H41,'26'!H41,'27'!H41,'28'!H41,'29'!H41,'30'!H41,'31'!H41)</f>
        <v>0</v>
      </c>
      <c r="W41" s="30">
        <f>SUM('1'!I41,'2'!I41,'3'!I41,'4'!I41,'5'!I41,'6'!I41,'7'!I41,'8'!I41,'9'!I41,'10'!I41,'11'!I41,'12'!I41,'13'!I41,'14'!I41,'15'!I41,'16'!I41,'17'!I41,'18'!I41,'19'!I41,'20'!I41,'21'!I41,'22'!I41,'23'!I41,'24'!I41,'25'!I41,'26'!I41,'27'!I41,'28'!I41,'29'!I41,'30'!I41,'31'!I41)</f>
        <v>0</v>
      </c>
      <c r="X41" s="30">
        <f>SUM('1'!J41,'2'!J41,'3'!J41,'4'!J41,'5'!J41,'6'!J41,'7'!J41,'8'!J41,'9'!J41,'10'!J41,'11'!J41,'12'!J41,'13'!J41,'14'!J41,'15'!J41,'16'!J41,'17'!J41,'18'!J41,'19'!J41,'20'!J41,'21'!J41,'22'!J41,'23'!J41,'24'!J41,'25'!J41,'26'!J41,'27'!J41,'28'!J41,'29'!J41,'30'!J41,'31'!J41)</f>
        <v>0</v>
      </c>
      <c r="Y41" s="30">
        <f>SUM('1'!K41,'2'!K41,'3'!K41,'4'!K41,'5'!K41,'6'!K41,'7'!K41,'8'!K41,'9'!K41,'10'!K41,'11'!K41,'12'!K41,'13'!K41,'14'!K41,'15'!K41,'16'!K41,'17'!K41,'18'!K41,'19'!K41,'20'!K41,'21'!K41,'22'!K41,'23'!K41,'24'!K41,'25'!K41,'26'!K41,'27'!K41,'28'!K41,'29'!K41,'30'!K41,'31'!K41)</f>
        <v>0</v>
      </c>
      <c r="Z41" s="30">
        <f>SUM('1'!L41,'2'!L41,'3'!L41,'4'!L41,'5'!L41,'6'!L41,'7'!L41,'8'!L41,'9'!L41,'10'!L41,'11'!L41,'12'!L41,'13'!L41,'14'!L41,'15'!L41,'16'!L41,'17'!L41,'18'!L41,'19'!L41,'20'!L41,'21'!L41,'22'!L41,'23'!L41,'24'!L41,'25'!L41,'26'!L41,'27'!L41,'28'!L41,'29'!L41,'30'!L41,'31'!L41)</f>
        <v>0</v>
      </c>
      <c r="AA41" s="30">
        <f>SUM('1'!M41,'2'!M41,'3'!M41,'4'!M41,'5'!M41,'6'!M41,'7'!M41,'8'!M41,'9'!M41,'10'!M41,'11'!M41,'12'!M41,'13'!M41,'14'!M41,'15'!M41,'16'!M41,'17'!M41,'18'!M41,'19'!M41,'20'!M41,'21'!M41,'22'!M41,'23'!M41,'24'!M41,'25'!M41,'26'!M41,'27'!M41,'28'!M41,'29'!M41,'30'!M41,'31'!M41)</f>
        <v>0</v>
      </c>
      <c r="AB41" s="30">
        <f>SUM('1'!N41,'2'!N41,'3'!N41,'4'!N41,'5'!N41,'6'!N41,'7'!N41,'8'!N41,'9'!N41,'10'!N41,'11'!N41,'12'!N41,'13'!N41,'14'!N41,'15'!N41,'16'!N41,'17'!N41,'18'!N41,'19'!N41,'20'!N41,'21'!N41,'22'!N41,'23'!N41,'24'!N41,'25'!N41,'26'!N41,'27'!N41,'28'!N41,'29'!N41,'30'!N41,'31'!N41)</f>
        <v>0</v>
      </c>
      <c r="AC41" s="30">
        <f>SUM('1'!O41,'2'!O41,'3'!O41,'4'!O41,'5'!O41,'6'!O41,'7'!O41,'8'!O41,'9'!O41,'10'!O41,'11'!O41,'12'!O41,'13'!O41,'14'!O41,'15'!O41,'16'!O41,'17'!O41,'18'!O41,'19'!O41,'20'!O41,'21'!O41,'22'!O41,'23'!O41,'24'!O41,'25'!O41,'26'!O41,'27'!O41,'28'!O41,'29'!O41,'30'!O41,'31'!O41)</f>
        <v>0</v>
      </c>
    </row>
    <row r="42" spans="1:29" s="30" customFormat="1" ht="12">
      <c r="A42" s="325">
        <v>35</v>
      </c>
      <c r="B42" s="325" t="str">
        <f>IF(АП!B35&lt;&gt;0,АП!B35,"")</f>
        <v>Рельс-6</v>
      </c>
      <c r="C42" s="325">
        <f>IF(АП!C35&lt;&gt;0,АП!C35,"")</f>
        <v>384</v>
      </c>
      <c r="D42" s="326" t="str">
        <f t="shared" si="1"/>
        <v/>
      </c>
      <c r="E42" s="326" t="str">
        <f t="shared" si="2"/>
        <v/>
      </c>
      <c r="F42" s="392" t="str">
        <f t="shared" si="3"/>
        <v/>
      </c>
      <c r="G42" s="392" t="str">
        <f t="shared" si="4"/>
        <v/>
      </c>
      <c r="H42" s="392" t="str">
        <f t="shared" si="5"/>
        <v/>
      </c>
      <c r="I42" s="392" t="str">
        <f t="shared" si="6"/>
        <v/>
      </c>
      <c r="J42" s="392" t="str">
        <f t="shared" si="7"/>
        <v/>
      </c>
      <c r="K42" s="392" t="str">
        <f t="shared" si="8"/>
        <v/>
      </c>
      <c r="L42" s="392" t="str">
        <f t="shared" si="9"/>
        <v/>
      </c>
      <c r="M42" s="130"/>
      <c r="N42" s="32"/>
      <c r="O42" s="3"/>
      <c r="P42" s="3"/>
      <c r="Q42" s="3"/>
      <c r="R42" s="3"/>
      <c r="S42" s="3"/>
      <c r="U42" s="30">
        <f>SUM('1'!G42,'2'!G42,'3'!G42,'4'!G42,'5'!G42,'6'!G42,'7'!G42,'8'!G42,'9'!G42,'10'!G42,'11'!G42,'12'!G42,'13'!G42,'14'!G42,'15'!G42,'16'!G42,'17'!G42,'18'!G42,'19'!G42,'20'!G42,'21'!G42,'22'!G42,'23'!G42,'24'!G42,'25'!G42,'26'!G42,'27'!G42,'28'!G42,'29'!G42,'30'!G42,'31'!G42)</f>
        <v>0</v>
      </c>
      <c r="V42" s="30">
        <f>SUM('1'!H42,'2'!H42,'3'!H42,'4'!H42,'5'!H42,'6'!H42,'7'!H42,'8'!H42,'9'!H42,'10'!H42,'11'!H42,'12'!H42,'13'!H42,'14'!H42,'15'!H42,'16'!H42,'17'!H42,'18'!H42,'19'!H42,'20'!H42,'21'!H42,'22'!H42,'23'!H42,'24'!H42,'25'!H42,'26'!H42,'27'!H42,'28'!H42,'29'!H42,'30'!H42,'31'!H42)</f>
        <v>0</v>
      </c>
      <c r="W42" s="30">
        <f>SUM('1'!I42,'2'!I42,'3'!I42,'4'!I42,'5'!I42,'6'!I42,'7'!I42,'8'!I42,'9'!I42,'10'!I42,'11'!I42,'12'!I42,'13'!I42,'14'!I42,'15'!I42,'16'!I42,'17'!I42,'18'!I42,'19'!I42,'20'!I42,'21'!I42,'22'!I42,'23'!I42,'24'!I42,'25'!I42,'26'!I42,'27'!I42,'28'!I42,'29'!I42,'30'!I42,'31'!I42)</f>
        <v>0</v>
      </c>
      <c r="X42" s="30">
        <f>SUM('1'!J42,'2'!J42,'3'!J42,'4'!J42,'5'!J42,'6'!J42,'7'!J42,'8'!J42,'9'!J42,'10'!J42,'11'!J42,'12'!J42,'13'!J42,'14'!J42,'15'!J42,'16'!J42,'17'!J42,'18'!J42,'19'!J42,'20'!J42,'21'!J42,'22'!J42,'23'!J42,'24'!J42,'25'!J42,'26'!J42,'27'!J42,'28'!J42,'29'!J42,'30'!J42,'31'!J42)</f>
        <v>0</v>
      </c>
      <c r="Y42" s="30">
        <f>SUM('1'!K42,'2'!K42,'3'!K42,'4'!K42,'5'!K42,'6'!K42,'7'!K42,'8'!K42,'9'!K42,'10'!K42,'11'!K42,'12'!K42,'13'!K42,'14'!K42,'15'!K42,'16'!K42,'17'!K42,'18'!K42,'19'!K42,'20'!K42,'21'!K42,'22'!K42,'23'!K42,'24'!K42,'25'!K42,'26'!K42,'27'!K42,'28'!K42,'29'!K42,'30'!K42,'31'!K42)</f>
        <v>0</v>
      </c>
      <c r="Z42" s="30">
        <f>SUM('1'!L42,'2'!L42,'3'!L42,'4'!L42,'5'!L42,'6'!L42,'7'!L42,'8'!L42,'9'!L42,'10'!L42,'11'!L42,'12'!L42,'13'!L42,'14'!L42,'15'!L42,'16'!L42,'17'!L42,'18'!L42,'19'!L42,'20'!L42,'21'!L42,'22'!L42,'23'!L42,'24'!L42,'25'!L42,'26'!L42,'27'!L42,'28'!L42,'29'!L42,'30'!L42,'31'!L42)</f>
        <v>0</v>
      </c>
      <c r="AA42" s="30">
        <f>SUM('1'!M42,'2'!M42,'3'!M42,'4'!M42,'5'!M42,'6'!M42,'7'!M42,'8'!M42,'9'!M42,'10'!M42,'11'!M42,'12'!M42,'13'!M42,'14'!M42,'15'!M42,'16'!M42,'17'!M42,'18'!M42,'19'!M42,'20'!M42,'21'!M42,'22'!M42,'23'!M42,'24'!M42,'25'!M42,'26'!M42,'27'!M42,'28'!M42,'29'!M42,'30'!M42,'31'!M42)</f>
        <v>0</v>
      </c>
      <c r="AB42" s="30">
        <f>SUM('1'!N42,'2'!N42,'3'!N42,'4'!N42,'5'!N42,'6'!N42,'7'!N42,'8'!N42,'9'!N42,'10'!N42,'11'!N42,'12'!N42,'13'!N42,'14'!N42,'15'!N42,'16'!N42,'17'!N42,'18'!N42,'19'!N42,'20'!N42,'21'!N42,'22'!N42,'23'!N42,'24'!N42,'25'!N42,'26'!N42,'27'!N42,'28'!N42,'29'!N42,'30'!N42,'31'!N42)</f>
        <v>0</v>
      </c>
      <c r="AC42" s="30">
        <f>SUM('1'!O42,'2'!O42,'3'!O42,'4'!O42,'5'!O42,'6'!O42,'7'!O42,'8'!O42,'9'!O42,'10'!O42,'11'!O42,'12'!O42,'13'!O42,'14'!O42,'15'!O42,'16'!O42,'17'!O42,'18'!O42,'19'!O42,'20'!O42,'21'!O42,'22'!O42,'23'!O42,'24'!O42,'25'!O42,'26'!O42,'27'!O42,'28'!O42,'29'!O42,'30'!O42,'31'!O42)</f>
        <v>0</v>
      </c>
    </row>
    <row r="43" spans="1:29" s="30" customFormat="1" ht="12">
      <c r="A43" s="325">
        <v>36</v>
      </c>
      <c r="B43" s="325" t="str">
        <f>IF(АП!B36&lt;&gt;0,АП!B36,"")</f>
        <v/>
      </c>
      <c r="C43" s="325" t="str">
        <f>IF(АП!C36&lt;&gt;0,АП!C36,"")</f>
        <v/>
      </c>
      <c r="D43" s="326" t="str">
        <f t="shared" si="1"/>
        <v/>
      </c>
      <c r="E43" s="326" t="str">
        <f t="shared" si="2"/>
        <v/>
      </c>
      <c r="F43" s="392" t="str">
        <f t="shared" si="3"/>
        <v/>
      </c>
      <c r="G43" s="392" t="str">
        <f t="shared" si="4"/>
        <v/>
      </c>
      <c r="H43" s="392" t="str">
        <f t="shared" si="5"/>
        <v/>
      </c>
      <c r="I43" s="392" t="str">
        <f t="shared" si="6"/>
        <v/>
      </c>
      <c r="J43" s="392" t="str">
        <f t="shared" si="7"/>
        <v/>
      </c>
      <c r="K43" s="392" t="str">
        <f t="shared" si="8"/>
        <v/>
      </c>
      <c r="L43" s="392" t="str">
        <f t="shared" si="9"/>
        <v/>
      </c>
      <c r="M43" s="130"/>
      <c r="N43" s="32"/>
      <c r="O43" s="3"/>
      <c r="P43" s="3"/>
      <c r="Q43" s="3"/>
      <c r="R43" s="3"/>
      <c r="S43" s="3"/>
      <c r="U43" s="30">
        <f>SUM('1'!G43,'2'!G43,'3'!G43,'4'!G43,'5'!G43,'6'!G43,'7'!G43,'8'!G43,'9'!G43,'10'!G43,'11'!G43,'12'!G43,'13'!G43,'14'!G43,'15'!G43,'16'!G43,'17'!G43,'18'!G43,'19'!G43,'20'!G43,'21'!G43,'22'!G43,'23'!G43,'24'!G43,'25'!G43,'26'!G43,'27'!G43,'28'!G43,'29'!G43,'30'!G43,'31'!G43)</f>
        <v>0</v>
      </c>
      <c r="V43" s="30">
        <f>SUM('1'!H43,'2'!H43,'3'!H43,'4'!H43,'5'!H43,'6'!H43,'7'!H43,'8'!H43,'9'!H43,'10'!H43,'11'!H43,'12'!H43,'13'!H43,'14'!H43,'15'!H43,'16'!H43,'17'!H43,'18'!H43,'19'!H43,'20'!H43,'21'!H43,'22'!H43,'23'!H43,'24'!H43,'25'!H43,'26'!H43,'27'!H43,'28'!H43,'29'!H43,'30'!H43,'31'!H43)</f>
        <v>0</v>
      </c>
      <c r="W43" s="30">
        <f>SUM('1'!I43,'2'!I43,'3'!I43,'4'!I43,'5'!I43,'6'!I43,'7'!I43,'8'!I43,'9'!I43,'10'!I43,'11'!I43,'12'!I43,'13'!I43,'14'!I43,'15'!I43,'16'!I43,'17'!I43,'18'!I43,'19'!I43,'20'!I43,'21'!I43,'22'!I43,'23'!I43,'24'!I43,'25'!I43,'26'!I43,'27'!I43,'28'!I43,'29'!I43,'30'!I43,'31'!I43)</f>
        <v>0</v>
      </c>
      <c r="X43" s="30">
        <f>SUM('1'!J43,'2'!J43,'3'!J43,'4'!J43,'5'!J43,'6'!J43,'7'!J43,'8'!J43,'9'!J43,'10'!J43,'11'!J43,'12'!J43,'13'!J43,'14'!J43,'15'!J43,'16'!J43,'17'!J43,'18'!J43,'19'!J43,'20'!J43,'21'!J43,'22'!J43,'23'!J43,'24'!J43,'25'!J43,'26'!J43,'27'!J43,'28'!J43,'29'!J43,'30'!J43,'31'!J43)</f>
        <v>0</v>
      </c>
      <c r="Y43" s="30">
        <f>SUM('1'!K43,'2'!K43,'3'!K43,'4'!K43,'5'!K43,'6'!K43,'7'!K43,'8'!K43,'9'!K43,'10'!K43,'11'!K43,'12'!K43,'13'!K43,'14'!K43,'15'!K43,'16'!K43,'17'!K43,'18'!K43,'19'!K43,'20'!K43,'21'!K43,'22'!K43,'23'!K43,'24'!K43,'25'!K43,'26'!K43,'27'!K43,'28'!K43,'29'!K43,'30'!K43,'31'!K43)</f>
        <v>0</v>
      </c>
      <c r="Z43" s="30">
        <f>SUM('1'!L43,'2'!L43,'3'!L43,'4'!L43,'5'!L43,'6'!L43,'7'!L43,'8'!L43,'9'!L43,'10'!L43,'11'!L43,'12'!L43,'13'!L43,'14'!L43,'15'!L43,'16'!L43,'17'!L43,'18'!L43,'19'!L43,'20'!L43,'21'!L43,'22'!L43,'23'!L43,'24'!L43,'25'!L43,'26'!L43,'27'!L43,'28'!L43,'29'!L43,'30'!L43,'31'!L43)</f>
        <v>0</v>
      </c>
      <c r="AA43" s="30">
        <f>SUM('1'!M43,'2'!M43,'3'!M43,'4'!M43,'5'!M43,'6'!M43,'7'!M43,'8'!M43,'9'!M43,'10'!M43,'11'!M43,'12'!M43,'13'!M43,'14'!M43,'15'!M43,'16'!M43,'17'!M43,'18'!M43,'19'!M43,'20'!M43,'21'!M43,'22'!M43,'23'!M43,'24'!M43,'25'!M43,'26'!M43,'27'!M43,'28'!M43,'29'!M43,'30'!M43,'31'!M43)</f>
        <v>0</v>
      </c>
      <c r="AB43" s="30">
        <f>SUM('1'!N43,'2'!N43,'3'!N43,'4'!N43,'5'!N43,'6'!N43,'7'!N43,'8'!N43,'9'!N43,'10'!N43,'11'!N43,'12'!N43,'13'!N43,'14'!N43,'15'!N43,'16'!N43,'17'!N43,'18'!N43,'19'!N43,'20'!N43,'21'!N43,'22'!N43,'23'!N43,'24'!N43,'25'!N43,'26'!N43,'27'!N43,'28'!N43,'29'!N43,'30'!N43,'31'!N43)</f>
        <v>0</v>
      </c>
      <c r="AC43" s="30">
        <f>SUM('1'!O43,'2'!O43,'3'!O43,'4'!O43,'5'!O43,'6'!O43,'7'!O43,'8'!O43,'9'!O43,'10'!O43,'11'!O43,'12'!O43,'13'!O43,'14'!O43,'15'!O43,'16'!O43,'17'!O43,'18'!O43,'19'!O43,'20'!O43,'21'!O43,'22'!O43,'23'!O43,'24'!O43,'25'!O43,'26'!O43,'27'!O43,'28'!O43,'29'!O43,'30'!O43,'31'!O43)</f>
        <v>0</v>
      </c>
    </row>
    <row r="44" spans="1:29" s="30" customFormat="1" ht="12">
      <c r="A44" s="325">
        <v>37</v>
      </c>
      <c r="B44" s="325" t="str">
        <f>IF(АП!B37&lt;&gt;0,АП!B37,"")</f>
        <v/>
      </c>
      <c r="C44" s="325" t="str">
        <f>IF(АП!C37&lt;&gt;0,АП!C37,"")</f>
        <v/>
      </c>
      <c r="D44" s="326" t="str">
        <f t="shared" si="1"/>
        <v/>
      </c>
      <c r="E44" s="326" t="str">
        <f t="shared" si="2"/>
        <v/>
      </c>
      <c r="F44" s="392" t="str">
        <f t="shared" si="3"/>
        <v/>
      </c>
      <c r="G44" s="392" t="str">
        <f t="shared" si="4"/>
        <v/>
      </c>
      <c r="H44" s="392" t="str">
        <f t="shared" si="5"/>
        <v/>
      </c>
      <c r="I44" s="392" t="str">
        <f t="shared" si="6"/>
        <v/>
      </c>
      <c r="J44" s="392" t="str">
        <f t="shared" si="7"/>
        <v/>
      </c>
      <c r="K44" s="392" t="str">
        <f t="shared" si="8"/>
        <v/>
      </c>
      <c r="L44" s="392" t="str">
        <f t="shared" si="9"/>
        <v/>
      </c>
      <c r="M44" s="130"/>
      <c r="N44" s="34"/>
      <c r="O44" s="35"/>
      <c r="P44" s="35"/>
      <c r="Q44" s="35"/>
      <c r="R44" s="35"/>
      <c r="S44" s="35"/>
      <c r="U44" s="30">
        <f>SUM('1'!G44,'2'!G44,'3'!G44,'4'!G44,'5'!G44,'6'!G44,'7'!G44,'8'!G44,'9'!G44,'10'!G44,'11'!G44,'12'!G44,'13'!G44,'14'!G44,'15'!G44,'16'!G44,'17'!G44,'18'!G44,'19'!G44,'20'!G44,'21'!G44,'22'!G44,'23'!G44,'24'!G44,'25'!G44,'26'!G44,'27'!G44,'28'!G44,'29'!G44,'30'!G44,'31'!G44)</f>
        <v>0</v>
      </c>
      <c r="V44" s="30">
        <f>SUM('1'!H44,'2'!H44,'3'!H44,'4'!H44,'5'!H44,'6'!H44,'7'!H44,'8'!H44,'9'!H44,'10'!H44,'11'!H44,'12'!H44,'13'!H44,'14'!H44,'15'!H44,'16'!H44,'17'!H44,'18'!H44,'19'!H44,'20'!H44,'21'!H44,'22'!H44,'23'!H44,'24'!H44,'25'!H44,'26'!H44,'27'!H44,'28'!H44,'29'!H44,'30'!H44,'31'!H44)</f>
        <v>0</v>
      </c>
      <c r="W44" s="30">
        <f>SUM('1'!I44,'2'!I44,'3'!I44,'4'!I44,'5'!I44,'6'!I44,'7'!I44,'8'!I44,'9'!I44,'10'!I44,'11'!I44,'12'!I44,'13'!I44,'14'!I44,'15'!I44,'16'!I44,'17'!I44,'18'!I44,'19'!I44,'20'!I44,'21'!I44,'22'!I44,'23'!I44,'24'!I44,'25'!I44,'26'!I44,'27'!I44,'28'!I44,'29'!I44,'30'!I44,'31'!I44)</f>
        <v>0</v>
      </c>
      <c r="X44" s="30">
        <f>SUM('1'!J44,'2'!J44,'3'!J44,'4'!J44,'5'!J44,'6'!J44,'7'!J44,'8'!J44,'9'!J44,'10'!J44,'11'!J44,'12'!J44,'13'!J44,'14'!J44,'15'!J44,'16'!J44,'17'!J44,'18'!J44,'19'!J44,'20'!J44,'21'!J44,'22'!J44,'23'!J44,'24'!J44,'25'!J44,'26'!J44,'27'!J44,'28'!J44,'29'!J44,'30'!J44,'31'!J44)</f>
        <v>0</v>
      </c>
      <c r="Y44" s="30">
        <f>SUM('1'!K44,'2'!K44,'3'!K44,'4'!K44,'5'!K44,'6'!K44,'7'!K44,'8'!K44,'9'!K44,'10'!K44,'11'!K44,'12'!K44,'13'!K44,'14'!K44,'15'!K44,'16'!K44,'17'!K44,'18'!K44,'19'!K44,'20'!K44,'21'!K44,'22'!K44,'23'!K44,'24'!K44,'25'!K44,'26'!K44,'27'!K44,'28'!K44,'29'!K44,'30'!K44,'31'!K44)</f>
        <v>0</v>
      </c>
      <c r="Z44" s="30">
        <f>SUM('1'!L44,'2'!L44,'3'!L44,'4'!L44,'5'!L44,'6'!L44,'7'!L44,'8'!L44,'9'!L44,'10'!L44,'11'!L44,'12'!L44,'13'!L44,'14'!L44,'15'!L44,'16'!L44,'17'!L44,'18'!L44,'19'!L44,'20'!L44,'21'!L44,'22'!L44,'23'!L44,'24'!L44,'25'!L44,'26'!L44,'27'!L44,'28'!L44,'29'!L44,'30'!L44,'31'!L44)</f>
        <v>0</v>
      </c>
      <c r="AA44" s="30">
        <f>SUM('1'!M44,'2'!M44,'3'!M44,'4'!M44,'5'!M44,'6'!M44,'7'!M44,'8'!M44,'9'!M44,'10'!M44,'11'!M44,'12'!M44,'13'!M44,'14'!M44,'15'!M44,'16'!M44,'17'!M44,'18'!M44,'19'!M44,'20'!M44,'21'!M44,'22'!M44,'23'!M44,'24'!M44,'25'!M44,'26'!M44,'27'!M44,'28'!M44,'29'!M44,'30'!M44,'31'!M44)</f>
        <v>0</v>
      </c>
      <c r="AB44" s="30">
        <f>SUM('1'!N44,'2'!N44,'3'!N44,'4'!N44,'5'!N44,'6'!N44,'7'!N44,'8'!N44,'9'!N44,'10'!N44,'11'!N44,'12'!N44,'13'!N44,'14'!N44,'15'!N44,'16'!N44,'17'!N44,'18'!N44,'19'!N44,'20'!N44,'21'!N44,'22'!N44,'23'!N44,'24'!N44,'25'!N44,'26'!N44,'27'!N44,'28'!N44,'29'!N44,'30'!N44,'31'!N44)</f>
        <v>0</v>
      </c>
      <c r="AC44" s="30">
        <f>SUM('1'!O44,'2'!O44,'3'!O44,'4'!O44,'5'!O44,'6'!O44,'7'!O44,'8'!O44,'9'!O44,'10'!O44,'11'!O44,'12'!O44,'13'!O44,'14'!O44,'15'!O44,'16'!O44,'17'!O44,'18'!O44,'19'!O44,'20'!O44,'21'!O44,'22'!O44,'23'!O44,'24'!O44,'25'!O44,'26'!O44,'27'!O44,'28'!O44,'29'!O44,'30'!O44,'31'!O44)</f>
        <v>0</v>
      </c>
    </row>
    <row r="45" spans="1:29" s="30" customFormat="1" ht="12">
      <c r="A45" s="325">
        <v>38</v>
      </c>
      <c r="B45" s="325" t="str">
        <f>IF(АП!B38&lt;&gt;0,АП!B38,"")</f>
        <v/>
      </c>
      <c r="C45" s="325" t="str">
        <f>IF(АП!C38&lt;&gt;0,АП!C38,"")</f>
        <v/>
      </c>
      <c r="D45" s="326" t="str">
        <f t="shared" si="1"/>
        <v/>
      </c>
      <c r="E45" s="326" t="str">
        <f t="shared" si="2"/>
        <v/>
      </c>
      <c r="F45" s="392" t="str">
        <f t="shared" si="3"/>
        <v/>
      </c>
      <c r="G45" s="392" t="str">
        <f t="shared" si="4"/>
        <v/>
      </c>
      <c r="H45" s="392" t="str">
        <f t="shared" si="5"/>
        <v/>
      </c>
      <c r="I45" s="392" t="str">
        <f t="shared" si="6"/>
        <v/>
      </c>
      <c r="J45" s="392" t="str">
        <f t="shared" si="7"/>
        <v/>
      </c>
      <c r="K45" s="392" t="str">
        <f t="shared" si="8"/>
        <v/>
      </c>
      <c r="L45" s="392" t="str">
        <f t="shared" si="9"/>
        <v/>
      </c>
      <c r="M45" s="130"/>
      <c r="N45" s="34"/>
      <c r="O45" s="35"/>
      <c r="P45" s="35"/>
      <c r="Q45" s="35"/>
      <c r="R45" s="35"/>
      <c r="S45" s="35"/>
      <c r="U45" s="30">
        <f>SUM('1'!G45,'2'!G45,'3'!G45,'4'!G45,'5'!G45,'6'!G45,'7'!G45,'8'!G45,'9'!G45,'10'!G45,'11'!G45,'12'!G45,'13'!G45,'14'!G45,'15'!G45,'16'!G45,'17'!G45,'18'!G45,'19'!G45,'20'!G45,'21'!G45,'22'!G45,'23'!G45,'24'!G45,'25'!G45,'26'!G45,'27'!G45,'28'!G45,'29'!G45,'30'!G45,'31'!G45)</f>
        <v>0</v>
      </c>
      <c r="V45" s="30">
        <f>SUM('1'!H45,'2'!H45,'3'!H45,'4'!H45,'5'!H45,'6'!H45,'7'!H45,'8'!H45,'9'!H45,'10'!H45,'11'!H45,'12'!H45,'13'!H45,'14'!H45,'15'!H45,'16'!H45,'17'!H45,'18'!H45,'19'!H45,'20'!H45,'21'!H45,'22'!H45,'23'!H45,'24'!H45,'25'!H45,'26'!H45,'27'!H45,'28'!H45,'29'!H45,'30'!H45,'31'!H45)</f>
        <v>0</v>
      </c>
      <c r="W45" s="30">
        <f>SUM('1'!I45,'2'!I45,'3'!I45,'4'!I45,'5'!I45,'6'!I45,'7'!I45,'8'!I45,'9'!I45,'10'!I45,'11'!I45,'12'!I45,'13'!I45,'14'!I45,'15'!I45,'16'!I45,'17'!I45,'18'!I45,'19'!I45,'20'!I45,'21'!I45,'22'!I45,'23'!I45,'24'!I45,'25'!I45,'26'!I45,'27'!I45,'28'!I45,'29'!I45,'30'!I45,'31'!I45)</f>
        <v>0</v>
      </c>
      <c r="X45" s="30">
        <f>SUM('1'!J45,'2'!J45,'3'!J45,'4'!J45,'5'!J45,'6'!J45,'7'!J45,'8'!J45,'9'!J45,'10'!J45,'11'!J45,'12'!J45,'13'!J45,'14'!J45,'15'!J45,'16'!J45,'17'!J45,'18'!J45,'19'!J45,'20'!J45,'21'!J45,'22'!J45,'23'!J45,'24'!J45,'25'!J45,'26'!J45,'27'!J45,'28'!J45,'29'!J45,'30'!J45,'31'!J45)</f>
        <v>0</v>
      </c>
      <c r="Y45" s="30">
        <f>SUM('1'!K45,'2'!K45,'3'!K45,'4'!K45,'5'!K45,'6'!K45,'7'!K45,'8'!K45,'9'!K45,'10'!K45,'11'!K45,'12'!K45,'13'!K45,'14'!K45,'15'!K45,'16'!K45,'17'!K45,'18'!K45,'19'!K45,'20'!K45,'21'!K45,'22'!K45,'23'!K45,'24'!K45,'25'!K45,'26'!K45,'27'!K45,'28'!K45,'29'!K45,'30'!K45,'31'!K45)</f>
        <v>0</v>
      </c>
      <c r="Z45" s="30">
        <f>SUM('1'!L45,'2'!L45,'3'!L45,'4'!L45,'5'!L45,'6'!L45,'7'!L45,'8'!L45,'9'!L45,'10'!L45,'11'!L45,'12'!L45,'13'!L45,'14'!L45,'15'!L45,'16'!L45,'17'!L45,'18'!L45,'19'!L45,'20'!L45,'21'!L45,'22'!L45,'23'!L45,'24'!L45,'25'!L45,'26'!L45,'27'!L45,'28'!L45,'29'!L45,'30'!L45,'31'!L45)</f>
        <v>0</v>
      </c>
      <c r="AA45" s="30">
        <f>SUM('1'!M45,'2'!M45,'3'!M45,'4'!M45,'5'!M45,'6'!M45,'7'!M45,'8'!M45,'9'!M45,'10'!M45,'11'!M45,'12'!M45,'13'!M45,'14'!M45,'15'!M45,'16'!M45,'17'!M45,'18'!M45,'19'!M45,'20'!M45,'21'!M45,'22'!M45,'23'!M45,'24'!M45,'25'!M45,'26'!M45,'27'!M45,'28'!M45,'29'!M45,'30'!M45,'31'!M45)</f>
        <v>0</v>
      </c>
      <c r="AB45" s="30">
        <f>SUM('1'!N45,'2'!N45,'3'!N45,'4'!N45,'5'!N45,'6'!N45,'7'!N45,'8'!N45,'9'!N45,'10'!N45,'11'!N45,'12'!N45,'13'!N45,'14'!N45,'15'!N45,'16'!N45,'17'!N45,'18'!N45,'19'!N45,'20'!N45,'21'!N45,'22'!N45,'23'!N45,'24'!N45,'25'!N45,'26'!N45,'27'!N45,'28'!N45,'29'!N45,'30'!N45,'31'!N45)</f>
        <v>0</v>
      </c>
      <c r="AC45" s="30">
        <f>SUM('1'!O45,'2'!O45,'3'!O45,'4'!O45,'5'!O45,'6'!O45,'7'!O45,'8'!O45,'9'!O45,'10'!O45,'11'!O45,'12'!O45,'13'!O45,'14'!O45,'15'!O45,'16'!O45,'17'!O45,'18'!O45,'19'!O45,'20'!O45,'21'!O45,'22'!O45,'23'!O45,'24'!O45,'25'!O45,'26'!O45,'27'!O45,'28'!O45,'29'!O45,'30'!O45,'31'!O45)</f>
        <v>0</v>
      </c>
    </row>
    <row r="46" spans="1:29" s="30" customFormat="1" ht="12">
      <c r="A46" s="325">
        <v>39</v>
      </c>
      <c r="B46" s="325" t="str">
        <f>IF(АП!B39&lt;&gt;0,АП!B39,"")</f>
        <v/>
      </c>
      <c r="C46" s="325" t="str">
        <f>IF(АП!C39&lt;&gt;0,АП!C39,"")</f>
        <v/>
      </c>
      <c r="D46" s="326" t="str">
        <f t="shared" si="1"/>
        <v/>
      </c>
      <c r="E46" s="326" t="str">
        <f t="shared" si="2"/>
        <v/>
      </c>
      <c r="F46" s="392" t="str">
        <f t="shared" si="3"/>
        <v/>
      </c>
      <c r="G46" s="392" t="str">
        <f t="shared" si="4"/>
        <v/>
      </c>
      <c r="H46" s="392" t="str">
        <f t="shared" si="5"/>
        <v/>
      </c>
      <c r="I46" s="392" t="str">
        <f t="shared" si="6"/>
        <v/>
      </c>
      <c r="J46" s="392" t="str">
        <f t="shared" si="7"/>
        <v/>
      </c>
      <c r="K46" s="392" t="str">
        <f t="shared" si="8"/>
        <v/>
      </c>
      <c r="L46" s="392" t="str">
        <f t="shared" si="9"/>
        <v/>
      </c>
      <c r="M46" s="130"/>
      <c r="N46" s="34"/>
      <c r="O46" s="35"/>
      <c r="P46" s="35"/>
      <c r="Q46" s="35"/>
      <c r="R46" s="35"/>
      <c r="S46" s="35"/>
      <c r="U46" s="30">
        <f>SUM('1'!G46,'2'!G46,'3'!G46,'4'!G46,'5'!G46,'6'!G46,'7'!G46,'8'!G46,'9'!G46,'10'!G46,'11'!G46,'12'!G46,'13'!G46,'14'!G46,'15'!G46,'16'!G46,'17'!G46,'18'!G46,'19'!G46,'20'!G46,'21'!G46,'22'!G46,'23'!G46,'24'!G46,'25'!G46,'26'!G46,'27'!G46,'28'!G46,'29'!G46,'30'!G46,'31'!G46)</f>
        <v>0</v>
      </c>
      <c r="V46" s="30">
        <f>SUM('1'!H46,'2'!H46,'3'!H46,'4'!H46,'5'!H46,'6'!H46,'7'!H46,'8'!H46,'9'!H46,'10'!H46,'11'!H46,'12'!H46,'13'!H46,'14'!H46,'15'!H46,'16'!H46,'17'!H46,'18'!H46,'19'!H46,'20'!H46,'21'!H46,'22'!H46,'23'!H46,'24'!H46,'25'!H46,'26'!H46,'27'!H46,'28'!H46,'29'!H46,'30'!H46,'31'!H46)</f>
        <v>0</v>
      </c>
      <c r="W46" s="30">
        <f>SUM('1'!I46,'2'!I46,'3'!I46,'4'!I46,'5'!I46,'6'!I46,'7'!I46,'8'!I46,'9'!I46,'10'!I46,'11'!I46,'12'!I46,'13'!I46,'14'!I46,'15'!I46,'16'!I46,'17'!I46,'18'!I46,'19'!I46,'20'!I46,'21'!I46,'22'!I46,'23'!I46,'24'!I46,'25'!I46,'26'!I46,'27'!I46,'28'!I46,'29'!I46,'30'!I46,'31'!I46)</f>
        <v>0</v>
      </c>
      <c r="X46" s="30">
        <f>SUM('1'!J46,'2'!J46,'3'!J46,'4'!J46,'5'!J46,'6'!J46,'7'!J46,'8'!J46,'9'!J46,'10'!J46,'11'!J46,'12'!J46,'13'!J46,'14'!J46,'15'!J46,'16'!J46,'17'!J46,'18'!J46,'19'!J46,'20'!J46,'21'!J46,'22'!J46,'23'!J46,'24'!J46,'25'!J46,'26'!J46,'27'!J46,'28'!J46,'29'!J46,'30'!J46,'31'!J46)</f>
        <v>0</v>
      </c>
      <c r="Y46" s="30">
        <f>SUM('1'!K46,'2'!K46,'3'!K46,'4'!K46,'5'!K46,'6'!K46,'7'!K46,'8'!K46,'9'!K46,'10'!K46,'11'!K46,'12'!K46,'13'!K46,'14'!K46,'15'!K46,'16'!K46,'17'!K46,'18'!K46,'19'!K46,'20'!K46,'21'!K46,'22'!K46,'23'!K46,'24'!K46,'25'!K46,'26'!K46,'27'!K46,'28'!K46,'29'!K46,'30'!K46,'31'!K46)</f>
        <v>0</v>
      </c>
      <c r="Z46" s="30">
        <f>SUM('1'!L46,'2'!L46,'3'!L46,'4'!L46,'5'!L46,'6'!L46,'7'!L46,'8'!L46,'9'!L46,'10'!L46,'11'!L46,'12'!L46,'13'!L46,'14'!L46,'15'!L46,'16'!L46,'17'!L46,'18'!L46,'19'!L46,'20'!L46,'21'!L46,'22'!L46,'23'!L46,'24'!L46,'25'!L46,'26'!L46,'27'!L46,'28'!L46,'29'!L46,'30'!L46,'31'!L46)</f>
        <v>0</v>
      </c>
      <c r="AA46" s="30">
        <f>SUM('1'!M46,'2'!M46,'3'!M46,'4'!M46,'5'!M46,'6'!M46,'7'!M46,'8'!M46,'9'!M46,'10'!M46,'11'!M46,'12'!M46,'13'!M46,'14'!M46,'15'!M46,'16'!M46,'17'!M46,'18'!M46,'19'!M46,'20'!M46,'21'!M46,'22'!M46,'23'!M46,'24'!M46,'25'!M46,'26'!M46,'27'!M46,'28'!M46,'29'!M46,'30'!M46,'31'!M46)</f>
        <v>0</v>
      </c>
      <c r="AB46" s="30">
        <f>SUM('1'!N46,'2'!N46,'3'!N46,'4'!N46,'5'!N46,'6'!N46,'7'!N46,'8'!N46,'9'!N46,'10'!N46,'11'!N46,'12'!N46,'13'!N46,'14'!N46,'15'!N46,'16'!N46,'17'!N46,'18'!N46,'19'!N46,'20'!N46,'21'!N46,'22'!N46,'23'!N46,'24'!N46,'25'!N46,'26'!N46,'27'!N46,'28'!N46,'29'!N46,'30'!N46,'31'!N46)</f>
        <v>0</v>
      </c>
      <c r="AC46" s="30">
        <f>SUM('1'!O46,'2'!O46,'3'!O46,'4'!O46,'5'!O46,'6'!O46,'7'!O46,'8'!O46,'9'!O46,'10'!O46,'11'!O46,'12'!O46,'13'!O46,'14'!O46,'15'!O46,'16'!O46,'17'!O46,'18'!O46,'19'!O46,'20'!O46,'21'!O46,'22'!O46,'23'!O46,'24'!O46,'25'!O46,'26'!O46,'27'!O46,'28'!O46,'29'!O46,'30'!O46,'31'!O46)</f>
        <v>0</v>
      </c>
    </row>
    <row r="47" spans="1:29" s="30" customFormat="1" ht="12">
      <c r="A47" s="325">
        <v>40</v>
      </c>
      <c r="B47" s="325" t="str">
        <f>IF(АП!B40&lt;&gt;0,АП!B40,"")</f>
        <v/>
      </c>
      <c r="C47" s="325" t="str">
        <f>IF(АП!C40&lt;&gt;0,АП!C40,"")</f>
        <v/>
      </c>
      <c r="D47" s="326" t="str">
        <f t="shared" si="1"/>
        <v/>
      </c>
      <c r="E47" s="326" t="str">
        <f t="shared" si="2"/>
        <v/>
      </c>
      <c r="F47" s="392" t="str">
        <f t="shared" si="3"/>
        <v/>
      </c>
      <c r="G47" s="392" t="str">
        <f t="shared" si="4"/>
        <v/>
      </c>
      <c r="H47" s="392" t="str">
        <f t="shared" si="5"/>
        <v/>
      </c>
      <c r="I47" s="392" t="str">
        <f t="shared" si="6"/>
        <v/>
      </c>
      <c r="J47" s="392" t="str">
        <f t="shared" si="7"/>
        <v/>
      </c>
      <c r="K47" s="392" t="str">
        <f t="shared" si="8"/>
        <v/>
      </c>
      <c r="L47" s="392" t="str">
        <f t="shared" si="9"/>
        <v/>
      </c>
      <c r="M47" s="130"/>
      <c r="N47" s="34"/>
      <c r="O47" s="35"/>
      <c r="P47" s="35"/>
      <c r="Q47" s="35"/>
      <c r="R47" s="35"/>
      <c r="S47" s="35"/>
      <c r="U47" s="30">
        <f>SUM('1'!G47,'2'!G47,'3'!G47,'4'!G47,'5'!G47,'6'!G47,'7'!G47,'8'!G47,'9'!G47,'10'!G47,'11'!G47,'12'!G47,'13'!G47,'14'!G47,'15'!G47,'16'!G47,'17'!G47,'18'!G47,'19'!G47,'20'!G47,'21'!G47,'22'!G47,'23'!G47,'24'!G47,'25'!G47,'26'!G47,'27'!G47,'28'!G47,'29'!G47,'30'!G47,'31'!G47)</f>
        <v>0</v>
      </c>
      <c r="V47" s="30">
        <f>SUM('1'!H47,'2'!H47,'3'!H47,'4'!H47,'5'!H47,'6'!H47,'7'!H47,'8'!H47,'9'!H47,'10'!H47,'11'!H47,'12'!H47,'13'!H47,'14'!H47,'15'!H47,'16'!H47,'17'!H47,'18'!H47,'19'!H47,'20'!H47,'21'!H47,'22'!H47,'23'!H47,'24'!H47,'25'!H47,'26'!H47,'27'!H47,'28'!H47,'29'!H47,'30'!H47,'31'!H47)</f>
        <v>0</v>
      </c>
      <c r="W47" s="30">
        <f>SUM('1'!I47,'2'!I47,'3'!I47,'4'!I47,'5'!I47,'6'!I47,'7'!I47,'8'!I47,'9'!I47,'10'!I47,'11'!I47,'12'!I47,'13'!I47,'14'!I47,'15'!I47,'16'!I47,'17'!I47,'18'!I47,'19'!I47,'20'!I47,'21'!I47,'22'!I47,'23'!I47,'24'!I47,'25'!I47,'26'!I47,'27'!I47,'28'!I47,'29'!I47,'30'!I47,'31'!I47)</f>
        <v>0</v>
      </c>
      <c r="X47" s="30">
        <f>SUM('1'!J47,'2'!J47,'3'!J47,'4'!J47,'5'!J47,'6'!J47,'7'!J47,'8'!J47,'9'!J47,'10'!J47,'11'!J47,'12'!J47,'13'!J47,'14'!J47,'15'!J47,'16'!J47,'17'!J47,'18'!J47,'19'!J47,'20'!J47,'21'!J47,'22'!J47,'23'!J47,'24'!J47,'25'!J47,'26'!J47,'27'!J47,'28'!J47,'29'!J47,'30'!J47,'31'!J47)</f>
        <v>0</v>
      </c>
      <c r="Y47" s="30">
        <f>SUM('1'!K47,'2'!K47,'3'!K47,'4'!K47,'5'!K47,'6'!K47,'7'!K47,'8'!K47,'9'!K47,'10'!K47,'11'!K47,'12'!K47,'13'!K47,'14'!K47,'15'!K47,'16'!K47,'17'!K47,'18'!K47,'19'!K47,'20'!K47,'21'!K47,'22'!K47,'23'!K47,'24'!K47,'25'!K47,'26'!K47,'27'!K47,'28'!K47,'29'!K47,'30'!K47,'31'!K47)</f>
        <v>0</v>
      </c>
      <c r="Z47" s="30">
        <f>SUM('1'!L47,'2'!L47,'3'!L47,'4'!L47,'5'!L47,'6'!L47,'7'!L47,'8'!L47,'9'!L47,'10'!L47,'11'!L47,'12'!L47,'13'!L47,'14'!L47,'15'!L47,'16'!L47,'17'!L47,'18'!L47,'19'!L47,'20'!L47,'21'!L47,'22'!L47,'23'!L47,'24'!L47,'25'!L47,'26'!L47,'27'!L47,'28'!L47,'29'!L47,'30'!L47,'31'!L47)</f>
        <v>0</v>
      </c>
      <c r="AA47" s="30">
        <f>SUM('1'!M47,'2'!M47,'3'!M47,'4'!M47,'5'!M47,'6'!M47,'7'!M47,'8'!M47,'9'!M47,'10'!M47,'11'!M47,'12'!M47,'13'!M47,'14'!M47,'15'!M47,'16'!M47,'17'!M47,'18'!M47,'19'!M47,'20'!M47,'21'!M47,'22'!M47,'23'!M47,'24'!M47,'25'!M47,'26'!M47,'27'!M47,'28'!M47,'29'!M47,'30'!M47,'31'!M47)</f>
        <v>0</v>
      </c>
      <c r="AB47" s="30">
        <f>SUM('1'!N47,'2'!N47,'3'!N47,'4'!N47,'5'!N47,'6'!N47,'7'!N47,'8'!N47,'9'!N47,'10'!N47,'11'!N47,'12'!N47,'13'!N47,'14'!N47,'15'!N47,'16'!N47,'17'!N47,'18'!N47,'19'!N47,'20'!N47,'21'!N47,'22'!N47,'23'!N47,'24'!N47,'25'!N47,'26'!N47,'27'!N47,'28'!N47,'29'!N47,'30'!N47,'31'!N47)</f>
        <v>0</v>
      </c>
      <c r="AC47" s="30">
        <f>SUM('1'!O47,'2'!O47,'3'!O47,'4'!O47,'5'!O47,'6'!O47,'7'!O47,'8'!O47,'9'!O47,'10'!O47,'11'!O47,'12'!O47,'13'!O47,'14'!O47,'15'!O47,'16'!O47,'17'!O47,'18'!O47,'19'!O47,'20'!O47,'21'!O47,'22'!O47,'23'!O47,'24'!O47,'25'!O47,'26'!O47,'27'!O47,'28'!O47,'29'!O47,'30'!O47,'31'!O47)</f>
        <v>0</v>
      </c>
    </row>
    <row r="48" spans="1:29" s="42" customFormat="1" ht="12">
      <c r="A48" s="501" t="s">
        <v>30</v>
      </c>
      <c r="B48" s="502"/>
      <c r="C48" s="502"/>
      <c r="D48" s="328">
        <f t="shared" ref="D48:D49" si="10">IF(U48=0,"",U48)</f>
        <v>384.4</v>
      </c>
      <c r="E48" s="328">
        <f t="shared" ref="E48:E49" si="11">IF(V48=0,"",V48)</f>
        <v>384.4</v>
      </c>
      <c r="F48" s="395">
        <f t="shared" ref="F48:F49" si="12">IF(W48=0,"",W48)</f>
        <v>470</v>
      </c>
      <c r="G48" s="395">
        <f t="shared" ref="G48:G49" si="13">IF(X48=0,"",X48)</f>
        <v>470</v>
      </c>
      <c r="H48" s="395">
        <f t="shared" ref="H48:H49" si="14">IF(Y48=0,"",Y48)</f>
        <v>1525</v>
      </c>
      <c r="I48" s="395">
        <f t="shared" ref="I48:I49" si="15">IF(Z48=0,"",Z48)</f>
        <v>1628</v>
      </c>
      <c r="J48" s="395">
        <f t="shared" ref="J48:J49" si="16">IF(AA48=0,"",AA48)</f>
        <v>101</v>
      </c>
      <c r="K48" s="395">
        <f t="shared" ref="K48:K49" si="17">IF(AB48=0,"",AB48)</f>
        <v>4</v>
      </c>
      <c r="L48" s="395" t="str">
        <f t="shared" ref="L48:L49" si="18">IF(AC48=0,"",AC48)</f>
        <v/>
      </c>
      <c r="M48" s="40"/>
      <c r="N48" s="41"/>
      <c r="O48" s="40"/>
      <c r="P48" s="40"/>
      <c r="Q48" s="40"/>
      <c r="R48" s="40"/>
      <c r="S48" s="40"/>
      <c r="U48" s="30">
        <f>SUM('1'!G48,'2'!G48,'3'!G48,'4'!G48,'5'!G48,'6'!G48,'7'!G48,'8'!G48,'9'!G48,'10'!G48,'11'!G48,'12'!G48,'13'!G48,'14'!G48,'15'!G48,'16'!G48,'17'!G48,'18'!G48,'19'!G48,'20'!G48,'21'!G48,'22'!G48,'23'!G48,'24'!G48,'25'!G48,'26'!G48,'27'!G48,'28'!G48,'29'!G48,'30'!G48,'31'!G48)</f>
        <v>384.4</v>
      </c>
      <c r="V48" s="30">
        <f>SUM('1'!H48,'2'!H48,'3'!H48,'4'!H48,'5'!H48,'6'!H48,'7'!H48,'8'!H48,'9'!H48,'10'!H48,'11'!H48,'12'!H48,'13'!H48,'14'!H48,'15'!H48,'16'!H48,'17'!H48,'18'!H48,'19'!H48,'20'!H48,'21'!H48,'22'!H48,'23'!H48,'24'!H48,'25'!H48,'26'!H48,'27'!H48,'28'!H48,'29'!H48,'30'!H48,'31'!H48)</f>
        <v>384.4</v>
      </c>
      <c r="W48" s="30">
        <f>SUM('1'!I48,'2'!I48,'3'!I48,'4'!I48,'5'!I48,'6'!I48,'7'!I48,'8'!I48,'9'!I48,'10'!I48,'11'!I48,'12'!I48,'13'!I48,'14'!I48,'15'!I48,'16'!I48,'17'!I48,'18'!I48,'19'!I48,'20'!I48,'21'!I48,'22'!I48,'23'!I48,'24'!I48,'25'!I48,'26'!I48,'27'!I48,'28'!I48,'29'!I48,'30'!I48,'31'!I48)</f>
        <v>470</v>
      </c>
      <c r="X48" s="30">
        <f>SUM('1'!J48,'2'!J48,'3'!J48,'4'!J48,'5'!J48,'6'!J48,'7'!J48,'8'!J48,'9'!J48,'10'!J48,'11'!J48,'12'!J48,'13'!J48,'14'!J48,'15'!J48,'16'!J48,'17'!J48,'18'!J48,'19'!J48,'20'!J48,'21'!J48,'22'!J48,'23'!J48,'24'!J48,'25'!J48,'26'!J48,'27'!J48,'28'!J48,'29'!J48,'30'!J48,'31'!J48)</f>
        <v>470</v>
      </c>
      <c r="Y48" s="30">
        <f>SUM('1'!K48,'2'!K48,'3'!K48,'4'!K48,'5'!K48,'6'!K48,'7'!K48,'8'!K48,'9'!K48,'10'!K48,'11'!K48,'12'!K48,'13'!K48,'14'!K48,'15'!K48,'16'!K48,'17'!K48,'18'!K48,'19'!K48,'20'!K48,'21'!K48,'22'!K48,'23'!K48,'24'!K48,'25'!K48,'26'!K48,'27'!K48,'28'!K48,'29'!K48,'30'!K48,'31'!K48)</f>
        <v>1525</v>
      </c>
      <c r="Z48" s="30">
        <f>SUM('1'!L48,'2'!L48,'3'!L48,'4'!L48,'5'!L48,'6'!L48,'7'!L48,'8'!L48,'9'!L48,'10'!L48,'11'!L48,'12'!L48,'13'!L48,'14'!L48,'15'!L48,'16'!L48,'17'!L48,'18'!L48,'19'!L48,'20'!L48,'21'!L48,'22'!L48,'23'!L48,'24'!L48,'25'!L48,'26'!L48,'27'!L48,'28'!L48,'29'!L48,'30'!L48,'31'!L48)</f>
        <v>1628</v>
      </c>
      <c r="AA48" s="30">
        <f>SUM('1'!M48,'2'!M48,'3'!M48,'4'!M48,'5'!M48,'6'!M48,'7'!M48,'8'!M48,'9'!M48,'10'!M48,'11'!M48,'12'!M48,'13'!M48,'14'!M48,'15'!M48,'16'!M48,'17'!M48,'18'!M48,'19'!M48,'20'!M48,'21'!M48,'22'!M48,'23'!M48,'24'!M48,'25'!M48,'26'!M48,'27'!M48,'28'!M48,'29'!M48,'30'!M48,'31'!M48)</f>
        <v>101</v>
      </c>
      <c r="AB48" s="30">
        <f>SUM('1'!N48,'2'!N48,'3'!N48,'4'!N48,'5'!N48,'6'!N48,'7'!N48,'8'!N48,'9'!N48,'10'!N48,'11'!N48,'12'!N48,'13'!N48,'14'!N48,'15'!N48,'16'!N48,'17'!N48,'18'!N48,'19'!N48,'20'!N48,'21'!N48,'22'!N48,'23'!N48,'24'!N48,'25'!N48,'26'!N48,'27'!N48,'28'!N48,'29'!N48,'30'!N48,'31'!N48)</f>
        <v>4</v>
      </c>
      <c r="AC48" s="30">
        <f>SUM('1'!O48,'2'!O48,'3'!O48,'4'!O48,'5'!O48,'6'!O48,'7'!O48,'8'!O48,'9'!O48,'10'!O48,'11'!O48,'12'!O48,'13'!O48,'14'!O48,'15'!O48,'16'!O48,'17'!O48,'18'!O48,'19'!O48,'20'!O48,'21'!O48,'22'!O48,'23'!O48,'24'!O48,'25'!O48,'26'!O48,'27'!O48,'28'!O48,'29'!O48,'30'!O48,'31'!O48)</f>
        <v>0</v>
      </c>
    </row>
    <row r="49" spans="1:29" s="42" customFormat="1" ht="12">
      <c r="A49" s="501" t="s">
        <v>2041</v>
      </c>
      <c r="B49" s="502"/>
      <c r="C49" s="502"/>
      <c r="D49" s="328">
        <f t="shared" si="10"/>
        <v>163.79999999999998</v>
      </c>
      <c r="E49" s="328">
        <f t="shared" si="11"/>
        <v>163.79999999999998</v>
      </c>
      <c r="F49" s="395">
        <f t="shared" si="12"/>
        <v>158</v>
      </c>
      <c r="G49" s="395">
        <f t="shared" si="13"/>
        <v>158</v>
      </c>
      <c r="H49" s="395">
        <f t="shared" si="14"/>
        <v>805</v>
      </c>
      <c r="I49" s="395">
        <f t="shared" si="15"/>
        <v>890</v>
      </c>
      <c r="J49" s="395">
        <f t="shared" si="16"/>
        <v>36</v>
      </c>
      <c r="K49" s="395" t="str">
        <f t="shared" si="17"/>
        <v/>
      </c>
      <c r="L49" s="395" t="str">
        <f t="shared" si="18"/>
        <v/>
      </c>
      <c r="M49" s="323"/>
      <c r="N49" s="322"/>
      <c r="O49" s="322"/>
      <c r="P49" s="322"/>
      <c r="Q49" s="322"/>
      <c r="R49" s="322"/>
      <c r="S49" s="322"/>
      <c r="U49" s="30">
        <f>SUM('1'!G49,'2'!G49,'3'!G49,'4'!G49,'5'!G49,'6'!G49,'7'!G49,'8'!G49,'9'!G49,'10'!G49,'11'!G49,'12'!G49,'13'!G49,'14'!G49,'15'!G49,'16'!G49,'17'!G49,'18'!G49,'19'!G49,'20'!G49,'21'!G49,'22'!G49,'23'!G49,'24'!G49,'25'!G49,'26'!G49,'27'!G49,'28'!G49,'29'!G49,'30'!G49,'31'!G49)</f>
        <v>163.79999999999998</v>
      </c>
      <c r="V49" s="30">
        <f>SUM('1'!H49,'2'!H49,'3'!H49,'4'!H49,'5'!H49,'6'!H49,'7'!H49,'8'!H49,'9'!H49,'10'!H49,'11'!H49,'12'!H49,'13'!H49,'14'!H49,'15'!H49,'16'!H49,'17'!H49,'18'!H49,'19'!H49,'20'!H49,'21'!H49,'22'!H49,'23'!H49,'24'!H49,'25'!H49,'26'!H49,'27'!H49,'28'!H49,'29'!H49,'30'!H49,'31'!H49)</f>
        <v>163.79999999999998</v>
      </c>
      <c r="W49" s="30">
        <f>SUM('1'!I49,'2'!I49,'3'!I49,'4'!I49,'5'!I49,'6'!I49,'7'!I49,'8'!I49,'9'!I49,'10'!I49,'11'!I49,'12'!I49,'13'!I49,'14'!I49,'15'!I49,'16'!I49,'17'!I49,'18'!I49,'19'!I49,'20'!I49,'21'!I49,'22'!I49,'23'!I49,'24'!I49,'25'!I49,'26'!I49,'27'!I49,'28'!I49,'29'!I49,'30'!I49,'31'!I49)</f>
        <v>158</v>
      </c>
      <c r="X49" s="30">
        <f>SUM('1'!J49,'2'!J49,'3'!J49,'4'!J49,'5'!J49,'6'!J49,'7'!J49,'8'!J49,'9'!J49,'10'!J49,'11'!J49,'12'!J49,'13'!J49,'14'!J49,'15'!J49,'16'!J49,'17'!J49,'18'!J49,'19'!J49,'20'!J49,'21'!J49,'22'!J49,'23'!J49,'24'!J49,'25'!J49,'26'!J49,'27'!J49,'28'!J49,'29'!J49,'30'!J49,'31'!J49)</f>
        <v>158</v>
      </c>
      <c r="Y49" s="30">
        <f>SUM('1'!K49,'2'!K49,'3'!K49,'4'!K49,'5'!K49,'6'!K49,'7'!K49,'8'!K49,'9'!K49,'10'!K49,'11'!K49,'12'!K49,'13'!K49,'14'!K49,'15'!K49,'16'!K49,'17'!K49,'18'!K49,'19'!K49,'20'!K49,'21'!K49,'22'!K49,'23'!K49,'24'!K49,'25'!K49,'26'!K49,'27'!K49,'28'!K49,'29'!K49,'30'!K49,'31'!K49)</f>
        <v>805</v>
      </c>
      <c r="Z49" s="30">
        <f>SUM('1'!L49,'2'!L49,'3'!L49,'4'!L49,'5'!L49,'6'!L49,'7'!L49,'8'!L49,'9'!L49,'10'!L49,'11'!L49,'12'!L49,'13'!L49,'14'!L49,'15'!L49,'16'!L49,'17'!L49,'18'!L49,'19'!L49,'20'!L49,'21'!L49,'22'!L49,'23'!L49,'24'!L49,'25'!L49,'26'!L49,'27'!L49,'28'!L49,'29'!L49,'30'!L49,'31'!L49)</f>
        <v>890</v>
      </c>
      <c r="AA49" s="30">
        <f>SUM('1'!M49,'2'!M49,'3'!M49,'4'!M49,'5'!M49,'6'!M49,'7'!M49,'8'!M49,'9'!M49,'10'!M49,'11'!M49,'12'!M49,'13'!M49,'14'!M49,'15'!M49,'16'!M49,'17'!M49,'18'!M49,'19'!M49,'20'!M49,'21'!M49,'22'!M49,'23'!M49,'24'!M49,'25'!M49,'26'!M49,'27'!M49,'28'!M49,'29'!M49,'30'!M49,'31'!M49)</f>
        <v>36</v>
      </c>
      <c r="AB49" s="30">
        <f>SUM('1'!N49,'2'!N49,'3'!N49,'4'!N49,'5'!N49,'6'!N49,'7'!N49,'8'!N49,'9'!N49,'10'!N49,'11'!N49,'12'!N49,'13'!N49,'14'!N49,'15'!N49,'16'!N49,'17'!N49,'18'!N49,'19'!N49,'20'!N49,'21'!N49,'22'!N49,'23'!N49,'24'!N49,'25'!N49,'26'!N49,'27'!N49,'28'!N49,'29'!N49,'30'!N49,'31'!N49)</f>
        <v>0</v>
      </c>
      <c r="AC49" s="30">
        <f>SUM('1'!O49,'2'!O49,'3'!O49,'4'!O49,'5'!O49,'6'!O49,'7'!O49,'8'!O49,'9'!O49,'10'!O49,'11'!O49,'12'!O49,'13'!O49,'14'!O49,'15'!O49,'16'!O49,'17'!O49,'18'!O49,'19'!O49,'20'!O49,'21'!O49,'22'!O49,'23'!O49,'24'!O49,'25'!O49,'26'!O49,'27'!O49,'28'!O49,'29'!O49,'30'!O49,'31'!O49)</f>
        <v>0</v>
      </c>
    </row>
    <row r="50" spans="1:29" ht="12">
      <c r="M50" s="7"/>
      <c r="N50" s="7"/>
      <c r="O50" s="7"/>
      <c r="P50" s="7"/>
      <c r="Q50" s="19"/>
    </row>
    <row r="51" spans="1:29" ht="12.75">
      <c r="B51" s="28" t="s">
        <v>26</v>
      </c>
      <c r="M51" s="7"/>
      <c r="N51" s="7"/>
      <c r="O51" s="7"/>
      <c r="P51" s="7"/>
      <c r="Q51" s="19"/>
    </row>
    <row r="52" spans="1:29" ht="12.75">
      <c r="B52" s="29" t="s">
        <v>2058</v>
      </c>
      <c r="J52" s="391"/>
      <c r="M52" s="7"/>
      <c r="N52" s="7"/>
      <c r="O52" s="7"/>
      <c r="P52" s="7"/>
      <c r="Q52" s="19"/>
    </row>
    <row r="53" spans="1:29" ht="12.75">
      <c r="B53" s="28"/>
      <c r="M53" s="7"/>
      <c r="N53" s="7"/>
      <c r="O53" s="7"/>
      <c r="P53" s="7"/>
      <c r="Q53" s="19"/>
    </row>
    <row r="54" spans="1:29" ht="12.75">
      <c r="B54" s="28" t="s">
        <v>2059</v>
      </c>
      <c r="M54" s="7"/>
      <c r="N54" s="7"/>
      <c r="O54" s="7"/>
      <c r="P54" s="7"/>
      <c r="Q54" s="19"/>
    </row>
    <row r="55" spans="1:29" ht="12.75">
      <c r="A55" s="29"/>
      <c r="M55" s="7"/>
      <c r="N55" s="7"/>
      <c r="O55" s="7"/>
      <c r="P55" s="7"/>
      <c r="Q55" s="19"/>
    </row>
    <row r="56" spans="1:29" ht="12">
      <c r="A56" s="27" t="s">
        <v>2061</v>
      </c>
      <c r="M56" s="7"/>
      <c r="N56" s="7"/>
      <c r="O56" s="7"/>
      <c r="P56" s="7"/>
      <c r="Q56" s="19"/>
    </row>
    <row r="57" spans="1:29" ht="12">
      <c r="A57" s="27" t="s">
        <v>2062</v>
      </c>
      <c r="M57" s="7"/>
      <c r="N57" s="7"/>
      <c r="O57" s="7"/>
      <c r="P57" s="7"/>
      <c r="Q57" s="19"/>
    </row>
    <row r="58" spans="1:29" ht="12">
      <c r="M58" s="7"/>
      <c r="N58" s="7"/>
      <c r="O58" s="7"/>
      <c r="P58" s="7"/>
      <c r="Q58" s="19"/>
    </row>
    <row r="59" spans="1:29" ht="12">
      <c r="M59" s="7"/>
      <c r="N59" s="7"/>
      <c r="O59" s="7"/>
      <c r="P59" s="7"/>
      <c r="Q59" s="19"/>
    </row>
    <row r="60" spans="1:29" ht="12">
      <c r="M60" s="7"/>
    </row>
    <row r="61" spans="1:29" ht="12">
      <c r="M61" s="7"/>
    </row>
    <row r="62" spans="1:29" ht="12">
      <c r="M62" s="7"/>
    </row>
    <row r="63" spans="1:29" ht="12">
      <c r="M63" s="7"/>
    </row>
    <row r="64" spans="1:29" ht="12">
      <c r="M64" s="7"/>
    </row>
    <row r="65" spans="13:13" ht="12">
      <c r="M65" s="7"/>
    </row>
    <row r="66" spans="13:13" ht="12">
      <c r="M66" s="7"/>
    </row>
    <row r="67" spans="13:13" ht="12">
      <c r="M67" s="7"/>
    </row>
    <row r="68" spans="13:13" ht="12">
      <c r="M68" s="7"/>
    </row>
    <row r="69" spans="13:13" ht="12">
      <c r="M69" s="7"/>
    </row>
    <row r="70" spans="13:13" ht="12">
      <c r="M70" s="7"/>
    </row>
    <row r="71" spans="13:13" ht="12">
      <c r="M71" s="7"/>
    </row>
    <row r="72" spans="13:13" ht="12">
      <c r="M72" s="7"/>
    </row>
    <row r="73" spans="13:13" ht="12">
      <c r="M73" s="7"/>
    </row>
    <row r="74" spans="13:13" ht="12">
      <c r="M74" s="7"/>
    </row>
    <row r="75" spans="13:13" ht="12">
      <c r="M75" s="7"/>
    </row>
    <row r="76" spans="13:13" ht="12">
      <c r="M76" s="7"/>
    </row>
  </sheetData>
  <protectedRanges>
    <protectedRange sqref="N50:O59" name="Диапазон1_1_2_1"/>
    <protectedRange sqref="M50:M76" name="Диапазон1_2_1_3_1_2_1"/>
    <protectedRange sqref="P50:P59" name="Диапазон1_2_1_6_1_2_1"/>
    <protectedRange sqref="D8:L8" name="Диапазон1_2_2_2_1_1"/>
    <protectedRange sqref="M8" name="Диапазон1_1_2_1_1_5_1_2_1_1_1_1_1_1_3_1"/>
  </protectedRanges>
  <autoFilter ref="A7:M52">
    <filterColumn colId="9"/>
    <filterColumn colId="10"/>
    <filterColumn colId="11"/>
  </autoFilter>
  <mergeCells count="22">
    <mergeCell ref="R4:R6"/>
    <mergeCell ref="S4:S6"/>
    <mergeCell ref="A48:C48"/>
    <mergeCell ref="A49:C49"/>
    <mergeCell ref="N5:N6"/>
    <mergeCell ref="O5:O6"/>
    <mergeCell ref="P5:P6"/>
    <mergeCell ref="D5:E5"/>
    <mergeCell ref="F5:G5"/>
    <mergeCell ref="H5:I5"/>
    <mergeCell ref="J5:J6"/>
    <mergeCell ref="A1:O1"/>
    <mergeCell ref="A2:Q2"/>
    <mergeCell ref="A3:O3"/>
    <mergeCell ref="A4:A6"/>
    <mergeCell ref="B4:B6"/>
    <mergeCell ref="C4:C6"/>
    <mergeCell ref="D4:L4"/>
    <mergeCell ref="M4:M6"/>
    <mergeCell ref="Q5:Q6"/>
    <mergeCell ref="K5:L5"/>
    <mergeCell ref="N4:Q4"/>
  </mergeCells>
  <pageMargins left="0.39370078740157483" right="0.39370078740157483" top="0.78740157480314965" bottom="0.39370078740157483" header="0" footer="0"/>
  <pageSetup paperSize="9" scale="69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37</vt:i4>
      </vt:variant>
      <vt:variant>
        <vt:lpstr>Именованные диапазоны</vt:lpstr>
      </vt:variant>
      <vt:variant>
        <vt:i4>35</vt:i4>
      </vt:variant>
    </vt:vector>
  </HeadingPairs>
  <TitlesOfParts>
    <vt:vector size="72" baseType="lpstr">
      <vt:lpstr>ВВОД</vt:lpstr>
      <vt:lpstr>За день</vt:lpstr>
      <vt:lpstr>За день Intercity</vt:lpstr>
      <vt:lpstr>АП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Місяць</vt:lpstr>
      <vt:lpstr>Місяц</vt:lpstr>
      <vt:lpstr>'1'!Область_печати</vt:lpstr>
      <vt:lpstr>'10'!Область_печати</vt:lpstr>
      <vt:lpstr>'11'!Область_печати</vt:lpstr>
      <vt:lpstr>'12'!Область_печати</vt:lpstr>
      <vt:lpstr>'13'!Область_печати</vt:lpstr>
      <vt:lpstr>'14'!Область_печати</vt:lpstr>
      <vt:lpstr>'15'!Область_печати</vt:lpstr>
      <vt:lpstr>'16'!Область_печати</vt:lpstr>
      <vt:lpstr>'17'!Область_печати</vt:lpstr>
      <vt:lpstr>'18'!Область_печати</vt:lpstr>
      <vt:lpstr>'19'!Область_печати</vt:lpstr>
      <vt:lpstr>'2'!Область_печати</vt:lpstr>
      <vt:lpstr>'20'!Область_печати</vt:lpstr>
      <vt:lpstr>'21'!Область_печати</vt:lpstr>
      <vt:lpstr>'22'!Область_печати</vt:lpstr>
      <vt:lpstr>'23'!Область_печати</vt:lpstr>
      <vt:lpstr>'24'!Область_печати</vt:lpstr>
      <vt:lpstr>'25'!Область_печати</vt:lpstr>
      <vt:lpstr>'26'!Область_печати</vt:lpstr>
      <vt:lpstr>'27'!Область_печати</vt:lpstr>
      <vt:lpstr>'28'!Область_печати</vt:lpstr>
      <vt:lpstr>'29'!Область_печати</vt:lpstr>
      <vt:lpstr>'3'!Область_печати</vt:lpstr>
      <vt:lpstr>'30'!Область_печати</vt:lpstr>
      <vt:lpstr>'31'!Область_печати</vt:lpstr>
      <vt:lpstr>'4'!Область_печати</vt:lpstr>
      <vt:lpstr>'5'!Область_печати</vt:lpstr>
      <vt:lpstr>'6'!Область_печати</vt:lpstr>
      <vt:lpstr>'7'!Область_печати</vt:lpstr>
      <vt:lpstr>'8'!Область_печати</vt:lpstr>
      <vt:lpstr>'9'!Область_печати</vt:lpstr>
      <vt:lpstr>'За день'!Область_печати</vt:lpstr>
      <vt:lpstr>'За день Intercity'!Область_печати</vt:lpstr>
      <vt:lpstr>Місяц!Область_печати</vt:lpstr>
      <vt:lpstr>Місяць!Область_печати</vt:lpstr>
    </vt:vector>
  </TitlesOfParts>
  <Company>УЗ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Заїка</dc:creator>
  <cp:lastModifiedBy>PCH10t</cp:lastModifiedBy>
  <cp:lastPrinted>2024-05-13T13:33:53Z</cp:lastPrinted>
  <dcterms:created xsi:type="dcterms:W3CDTF">2011-04-21T06:18:36Z</dcterms:created>
  <dcterms:modified xsi:type="dcterms:W3CDTF">2024-06-24T07:02:54Z</dcterms:modified>
</cp:coreProperties>
</file>